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68d34924d05998/Claude-CoWork/BeamBender-BigBox/BeamBender-BigBox-From-GitHub/Docs/"/>
    </mc:Choice>
  </mc:AlternateContent>
  <xr:revisionPtr revIDLastSave="172" documentId="8_{2DA62DD3-E9F0-4169-B296-9EF48413D600}" xr6:coauthVersionLast="47" xr6:coauthVersionMax="47" xr10:uidLastSave="{2FF30000-F671-4292-B93F-621FB5EC8FF5}"/>
  <bookViews>
    <workbookView xWindow="4500" yWindow="1035" windowWidth="30315" windowHeight="22110" activeTab="1" xr2:uid="{684E2FC2-A0F7-4EA6-B430-9AF8D6420E85}"/>
  </bookViews>
  <sheets>
    <sheet name="SO-DIMM-i5" sheetId="2" r:id="rId1"/>
    <sheet name="FPGA-SC-02033-2-0-ECP5U-25-Pino" sheetId="1" r:id="rId2"/>
    <sheet name="SO-DIMM-i9" sheetId="4" r:id="rId3"/>
    <sheet name="FPGA-SC-02034-3-0-ECP5U-45-Pino" sheetId="3" r:id="rId4"/>
  </sheets>
  <definedNames>
    <definedName name="_xlnm._FilterDatabase" localSheetId="1" hidden="1">'FPGA-SC-02033-2-0-ECP5U-25-Pino'!$A$1:$I$693</definedName>
    <definedName name="_xlnm._FilterDatabase" localSheetId="3" hidden="1">'FPGA-SC-02034-3-0-ECP5U-45-Pino'!$A$9:$I$854</definedName>
    <definedName name="_xlnm._FilterDatabase" localSheetId="0" hidden="1">'SO-DIMM-i5'!$A$1:$I$103</definedName>
    <definedName name="_xlnm._FilterDatabase" localSheetId="2" hidden="1">'SO-DIMM-i9'!$A$1:$I$103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8" i="3" l="1"/>
  <c r="I807" i="3"/>
  <c r="I802" i="3"/>
  <c r="I801" i="3"/>
  <c r="I800" i="3"/>
  <c r="I796" i="3"/>
  <c r="I795" i="3"/>
  <c r="I794" i="3"/>
  <c r="I790" i="3"/>
  <c r="I789" i="3"/>
  <c r="I786" i="3"/>
  <c r="I785" i="3"/>
  <c r="I782" i="3"/>
  <c r="I781" i="3"/>
  <c r="I772" i="3"/>
  <c r="I771" i="3"/>
  <c r="I762" i="3"/>
  <c r="I761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691" i="3"/>
  <c r="I690" i="3"/>
  <c r="I689" i="3"/>
  <c r="I685" i="3"/>
  <c r="I684" i="3"/>
  <c r="I683" i="3"/>
  <c r="I678" i="3"/>
  <c r="I677" i="3"/>
  <c r="I672" i="3"/>
  <c r="I671" i="3"/>
  <c r="I646" i="3"/>
  <c r="I645" i="3"/>
  <c r="I644" i="3"/>
  <c r="I643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1" i="3"/>
  <c r="I489" i="3"/>
  <c r="I488" i="3"/>
  <c r="I486" i="3"/>
  <c r="I485" i="3"/>
  <c r="I483" i="3"/>
  <c r="I482" i="3"/>
  <c r="I480" i="3"/>
  <c r="I479" i="3"/>
  <c r="I477" i="3"/>
  <c r="I476" i="3"/>
  <c r="I474" i="3"/>
  <c r="I473" i="3"/>
  <c r="I471" i="3"/>
  <c r="I470" i="3"/>
  <c r="I468" i="3"/>
  <c r="I461" i="3"/>
  <c r="I459" i="3"/>
  <c r="I456" i="3"/>
  <c r="I455" i="3"/>
  <c r="I453" i="3"/>
  <c r="I452" i="3"/>
  <c r="I450" i="3"/>
  <c r="I449" i="3"/>
  <c r="I447" i="3"/>
  <c r="I446" i="3"/>
  <c r="I444" i="3"/>
  <c r="I441" i="3"/>
  <c r="I439" i="3"/>
  <c r="I438" i="3"/>
  <c r="I436" i="3"/>
  <c r="I435" i="3"/>
  <c r="I433" i="3"/>
  <c r="I432" i="3"/>
  <c r="I430" i="3"/>
  <c r="I429" i="3"/>
  <c r="I427" i="3"/>
  <c r="I426" i="3"/>
  <c r="I424" i="3"/>
  <c r="I423" i="3"/>
  <c r="I421" i="3"/>
  <c r="I420" i="3"/>
  <c r="I418" i="3"/>
  <c r="I409" i="3"/>
  <c r="I405" i="3"/>
  <c r="I403" i="3"/>
  <c r="I402" i="3"/>
  <c r="I400" i="3"/>
  <c r="I399" i="3"/>
  <c r="I397" i="3"/>
  <c r="I396" i="3"/>
  <c r="I394" i="3"/>
  <c r="I393" i="3"/>
  <c r="I391" i="3"/>
  <c r="I390" i="3"/>
  <c r="I388" i="3"/>
  <c r="I387" i="3"/>
  <c r="I385" i="3"/>
  <c r="I384" i="3"/>
  <c r="I382" i="3"/>
  <c r="I372" i="3"/>
  <c r="I371" i="3"/>
  <c r="I369" i="3"/>
  <c r="I367" i="3"/>
  <c r="I366" i="3"/>
  <c r="I364" i="3"/>
  <c r="I363" i="3"/>
  <c r="I361" i="3"/>
  <c r="I360" i="3"/>
  <c r="I358" i="3"/>
  <c r="I357" i="3"/>
  <c r="I355" i="3"/>
  <c r="I354" i="3"/>
  <c r="I352" i="3"/>
  <c r="I351" i="3"/>
  <c r="I349" i="3"/>
  <c r="I348" i="3"/>
  <c r="I346" i="3"/>
  <c r="I345" i="3"/>
  <c r="I343" i="3"/>
  <c r="I342" i="3"/>
  <c r="I340" i="3"/>
  <c r="I339" i="3"/>
  <c r="I337" i="3"/>
  <c r="I336" i="3"/>
  <c r="I334" i="3"/>
  <c r="I333" i="3"/>
  <c r="I331" i="3"/>
  <c r="I330" i="3"/>
  <c r="I328" i="3"/>
  <c r="I327" i="3"/>
  <c r="I325" i="3"/>
  <c r="I324" i="3"/>
  <c r="I322" i="3"/>
  <c r="I321" i="3"/>
  <c r="I319" i="3"/>
  <c r="I318" i="3"/>
  <c r="I316" i="3"/>
  <c r="I315" i="3"/>
  <c r="I313" i="3"/>
  <c r="I312" i="3"/>
  <c r="I310" i="3"/>
  <c r="I309" i="3"/>
  <c r="I307" i="3"/>
  <c r="I306" i="3"/>
  <c r="I304" i="3"/>
  <c r="I303" i="3"/>
  <c r="I301" i="3"/>
  <c r="I288" i="3"/>
  <c r="I276" i="3"/>
  <c r="I274" i="3"/>
  <c r="I273" i="3"/>
  <c r="I271" i="3"/>
  <c r="I270" i="3"/>
  <c r="I268" i="3"/>
  <c r="I267" i="3"/>
  <c r="I265" i="3"/>
  <c r="I264" i="3"/>
  <c r="I262" i="3"/>
  <c r="I261" i="3"/>
  <c r="I259" i="3"/>
  <c r="I258" i="3"/>
  <c r="I256" i="3"/>
  <c r="I254" i="3"/>
  <c r="I253" i="3"/>
  <c r="I246" i="3"/>
  <c r="I244" i="3"/>
  <c r="I236" i="3"/>
  <c r="I235" i="3"/>
  <c r="I234" i="3"/>
  <c r="I231" i="3"/>
  <c r="I230" i="3"/>
  <c r="I228" i="3"/>
  <c r="I225" i="3"/>
  <c r="I224" i="3"/>
  <c r="I222" i="3"/>
  <c r="I219" i="3"/>
  <c r="I218" i="3"/>
  <c r="I217" i="3"/>
  <c r="I214" i="3"/>
  <c r="I212" i="3"/>
  <c r="I209" i="3"/>
  <c r="I207" i="3"/>
  <c r="I204" i="3"/>
  <c r="I203" i="3"/>
  <c r="I202" i="3"/>
  <c r="I199" i="3"/>
  <c r="I198" i="3"/>
  <c r="I196" i="3"/>
  <c r="I193" i="3"/>
  <c r="I192" i="3"/>
  <c r="I190" i="3"/>
  <c r="I187" i="3"/>
  <c r="I186" i="3"/>
  <c r="I185" i="3"/>
  <c r="I175" i="3"/>
  <c r="I174" i="3"/>
  <c r="I172" i="3"/>
  <c r="I171" i="3"/>
  <c r="I169" i="3"/>
  <c r="I168" i="3"/>
  <c r="I166" i="3"/>
  <c r="I165" i="3"/>
  <c r="I163" i="3"/>
  <c r="I162" i="3"/>
  <c r="I160" i="3"/>
  <c r="I159" i="3"/>
  <c r="I157" i="3"/>
  <c r="I156" i="3"/>
  <c r="I154" i="3"/>
  <c r="I153" i="3"/>
  <c r="I151" i="3"/>
  <c r="I150" i="3"/>
  <c r="I148" i="3"/>
  <c r="I147" i="3"/>
  <c r="I145" i="3"/>
  <c r="I144" i="3"/>
  <c r="I142" i="3"/>
  <c r="I141" i="3"/>
  <c r="I134" i="3"/>
  <c r="I133" i="3"/>
  <c r="I131" i="3"/>
  <c r="I129" i="3"/>
  <c r="I128" i="3"/>
  <c r="I126" i="3"/>
  <c r="I125" i="3"/>
  <c r="I123" i="3"/>
  <c r="I122" i="3"/>
  <c r="I120" i="3"/>
  <c r="I119" i="3"/>
  <c r="I117" i="3"/>
  <c r="I116" i="3"/>
  <c r="I114" i="3"/>
  <c r="I113" i="3"/>
  <c r="I111" i="3"/>
  <c r="I99" i="3"/>
  <c r="I86" i="3"/>
  <c r="I84" i="3"/>
  <c r="I83" i="3"/>
  <c r="I81" i="3"/>
  <c r="I80" i="3"/>
  <c r="I78" i="3"/>
  <c r="I77" i="3"/>
  <c r="I75" i="3"/>
  <c r="I74" i="3"/>
  <c r="I72" i="3"/>
  <c r="I71" i="3"/>
  <c r="I69" i="3"/>
  <c r="I68" i="3"/>
  <c r="I66" i="3"/>
  <c r="I65" i="3"/>
  <c r="I63" i="3"/>
  <c r="I62" i="3"/>
  <c r="I60" i="3"/>
  <c r="I59" i="3"/>
  <c r="I57" i="3"/>
  <c r="I56" i="3"/>
  <c r="I54" i="3"/>
  <c r="I53" i="3"/>
  <c r="I51" i="3"/>
  <c r="I50" i="3"/>
  <c r="I48" i="3"/>
  <c r="I47" i="3"/>
  <c r="I45" i="3"/>
  <c r="I44" i="3"/>
  <c r="I42" i="3"/>
  <c r="I41" i="3"/>
  <c r="I39" i="3"/>
  <c r="I38" i="3"/>
  <c r="I36" i="3"/>
  <c r="I35" i="3"/>
  <c r="I33" i="3"/>
  <c r="I32" i="3"/>
  <c r="I30" i="3"/>
  <c r="I29" i="3"/>
  <c r="I27" i="3"/>
  <c r="I26" i="3"/>
  <c r="I24" i="3"/>
  <c r="I23" i="3"/>
  <c r="I20" i="3"/>
  <c r="I18" i="3"/>
  <c r="I16" i="3"/>
  <c r="I15" i="3"/>
  <c r="I21" i="3"/>
  <c r="F103" i="4"/>
  <c r="E103" i="4"/>
  <c r="D103" i="4"/>
  <c r="C103" i="4"/>
  <c r="F102" i="4"/>
  <c r="E102" i="4"/>
  <c r="D102" i="4"/>
  <c r="C102" i="4"/>
  <c r="F101" i="4"/>
  <c r="E101" i="4"/>
  <c r="D101" i="4"/>
  <c r="C101" i="4"/>
  <c r="F100" i="4"/>
  <c r="E100" i="4"/>
  <c r="D100" i="4"/>
  <c r="C100" i="4"/>
  <c r="F99" i="4"/>
  <c r="E99" i="4"/>
  <c r="D99" i="4"/>
  <c r="C99" i="4"/>
  <c r="F98" i="4"/>
  <c r="E98" i="4"/>
  <c r="D98" i="4"/>
  <c r="C98" i="4"/>
  <c r="F97" i="4"/>
  <c r="E97" i="4"/>
  <c r="D97" i="4"/>
  <c r="C97" i="4"/>
  <c r="F96" i="4"/>
  <c r="E96" i="4"/>
  <c r="D96" i="4"/>
  <c r="C96" i="4"/>
  <c r="F95" i="4"/>
  <c r="E95" i="4"/>
  <c r="D95" i="4"/>
  <c r="C95" i="4"/>
  <c r="F94" i="4"/>
  <c r="E94" i="4"/>
  <c r="D94" i="4"/>
  <c r="I94" i="4" s="1"/>
  <c r="C94" i="4"/>
  <c r="F93" i="4"/>
  <c r="E93" i="4"/>
  <c r="D93" i="4"/>
  <c r="C93" i="4"/>
  <c r="F92" i="4"/>
  <c r="E92" i="4"/>
  <c r="D92" i="4"/>
  <c r="C92" i="4"/>
  <c r="F91" i="4"/>
  <c r="E91" i="4"/>
  <c r="D91" i="4"/>
  <c r="C91" i="4"/>
  <c r="F90" i="4"/>
  <c r="E90" i="4"/>
  <c r="D90" i="4"/>
  <c r="C90" i="4"/>
  <c r="F89" i="4"/>
  <c r="E89" i="4"/>
  <c r="D89" i="4"/>
  <c r="C89" i="4"/>
  <c r="F88" i="4"/>
  <c r="E88" i="4"/>
  <c r="D88" i="4"/>
  <c r="C88" i="4"/>
  <c r="F87" i="4"/>
  <c r="E87" i="4"/>
  <c r="D87" i="4"/>
  <c r="C87" i="4"/>
  <c r="F86" i="4"/>
  <c r="E86" i="4"/>
  <c r="D86" i="4"/>
  <c r="C86" i="4"/>
  <c r="F85" i="4"/>
  <c r="E85" i="4"/>
  <c r="D85" i="4"/>
  <c r="C85" i="4"/>
  <c r="F84" i="4"/>
  <c r="E84" i="4"/>
  <c r="D84" i="4"/>
  <c r="C84" i="4"/>
  <c r="F83" i="4"/>
  <c r="E83" i="4"/>
  <c r="D83" i="4"/>
  <c r="I83" i="4" s="1"/>
  <c r="C83" i="4"/>
  <c r="F82" i="4"/>
  <c r="E82" i="4"/>
  <c r="D82" i="4"/>
  <c r="I82" i="4" s="1"/>
  <c r="C82" i="4"/>
  <c r="F81" i="4"/>
  <c r="E81" i="4"/>
  <c r="D81" i="4"/>
  <c r="I81" i="4" s="1"/>
  <c r="C81" i="4"/>
  <c r="F80" i="4"/>
  <c r="E80" i="4"/>
  <c r="D80" i="4"/>
  <c r="I80" i="4" s="1"/>
  <c r="C80" i="4"/>
  <c r="F79" i="4"/>
  <c r="E79" i="4"/>
  <c r="D79" i="4"/>
  <c r="I79" i="4" s="1"/>
  <c r="C79" i="4"/>
  <c r="F78" i="4"/>
  <c r="E78" i="4"/>
  <c r="D78" i="4"/>
  <c r="I78" i="4" s="1"/>
  <c r="C78" i="4"/>
  <c r="F77" i="4"/>
  <c r="E77" i="4"/>
  <c r="D77" i="4"/>
  <c r="C77" i="4"/>
  <c r="F76" i="4"/>
  <c r="E76" i="4"/>
  <c r="D76" i="4"/>
  <c r="C76" i="4"/>
  <c r="F75" i="4"/>
  <c r="E75" i="4"/>
  <c r="D75" i="4"/>
  <c r="C75" i="4"/>
  <c r="F74" i="4"/>
  <c r="E74" i="4"/>
  <c r="D74" i="4"/>
  <c r="C74" i="4"/>
  <c r="F73" i="4"/>
  <c r="E73" i="4"/>
  <c r="D73" i="4"/>
  <c r="I73" i="4" s="1"/>
  <c r="C73" i="4"/>
  <c r="F72" i="4"/>
  <c r="E72" i="4"/>
  <c r="D72" i="4"/>
  <c r="I72" i="4" s="1"/>
  <c r="C72" i="4"/>
  <c r="F71" i="4"/>
  <c r="E71" i="4"/>
  <c r="D71" i="4"/>
  <c r="I71" i="4" s="1"/>
  <c r="C71" i="4"/>
  <c r="F70" i="4"/>
  <c r="E70" i="4"/>
  <c r="D70" i="4"/>
  <c r="I70" i="4" s="1"/>
  <c r="C70" i="4"/>
  <c r="F69" i="4"/>
  <c r="E69" i="4"/>
  <c r="D69" i="4"/>
  <c r="I69" i="4" s="1"/>
  <c r="C69" i="4"/>
  <c r="F68" i="4"/>
  <c r="E68" i="4"/>
  <c r="D68" i="4"/>
  <c r="C68" i="4"/>
  <c r="F67" i="4"/>
  <c r="E67" i="4"/>
  <c r="D67" i="4"/>
  <c r="I67" i="4" s="1"/>
  <c r="C67" i="4"/>
  <c r="F66" i="4"/>
  <c r="E66" i="4"/>
  <c r="D66" i="4"/>
  <c r="I66" i="4" s="1"/>
  <c r="C66" i="4"/>
  <c r="F65" i="4"/>
  <c r="E65" i="4"/>
  <c r="D65" i="4"/>
  <c r="C65" i="4"/>
  <c r="F64" i="4"/>
  <c r="E64" i="4"/>
  <c r="D64" i="4"/>
  <c r="C64" i="4"/>
  <c r="F63" i="4"/>
  <c r="E63" i="4"/>
  <c r="D63" i="4"/>
  <c r="C63" i="4"/>
  <c r="F62" i="4"/>
  <c r="E62" i="4"/>
  <c r="D62" i="4"/>
  <c r="C62" i="4"/>
  <c r="F61" i="4"/>
  <c r="E61" i="4"/>
  <c r="D61" i="4"/>
  <c r="C61" i="4"/>
  <c r="F60" i="4"/>
  <c r="E60" i="4"/>
  <c r="D60" i="4"/>
  <c r="C60" i="4"/>
  <c r="F59" i="4"/>
  <c r="E59" i="4"/>
  <c r="D59" i="4"/>
  <c r="I59" i="4" s="1"/>
  <c r="C59" i="4"/>
  <c r="F58" i="4"/>
  <c r="E58" i="4"/>
  <c r="D58" i="4"/>
  <c r="C58" i="4"/>
  <c r="F57" i="4"/>
  <c r="E57" i="4"/>
  <c r="D57" i="4"/>
  <c r="C57" i="4"/>
  <c r="F56" i="4"/>
  <c r="E56" i="4"/>
  <c r="D56" i="4"/>
  <c r="C56" i="4"/>
  <c r="F55" i="4"/>
  <c r="E55" i="4"/>
  <c r="D55" i="4"/>
  <c r="C55" i="4"/>
  <c r="F54" i="4"/>
  <c r="E54" i="4"/>
  <c r="D54" i="4"/>
  <c r="C54" i="4"/>
  <c r="F53" i="4"/>
  <c r="E53" i="4"/>
  <c r="D53" i="4"/>
  <c r="C53" i="4"/>
  <c r="F52" i="4"/>
  <c r="E52" i="4"/>
  <c r="D52" i="4"/>
  <c r="I52" i="4" s="1"/>
  <c r="C52" i="4"/>
  <c r="F51" i="4"/>
  <c r="E51" i="4"/>
  <c r="D51" i="4"/>
  <c r="C51" i="4"/>
  <c r="F50" i="4"/>
  <c r="E50" i="4"/>
  <c r="D50" i="4"/>
  <c r="I50" i="4" s="1"/>
  <c r="C50" i="4"/>
  <c r="F49" i="4"/>
  <c r="E49" i="4"/>
  <c r="D49" i="4"/>
  <c r="C49" i="4"/>
  <c r="F48" i="4"/>
  <c r="E48" i="4"/>
  <c r="D48" i="4"/>
  <c r="C48" i="4"/>
  <c r="F47" i="4"/>
  <c r="E47" i="4"/>
  <c r="D47" i="4"/>
  <c r="I47" i="4" s="1"/>
  <c r="C47" i="4"/>
  <c r="F46" i="4"/>
  <c r="E46" i="4"/>
  <c r="D46" i="4"/>
  <c r="C46" i="4"/>
  <c r="F45" i="4"/>
  <c r="E45" i="4"/>
  <c r="D45" i="4"/>
  <c r="I45" i="4" s="1"/>
  <c r="C45" i="4"/>
  <c r="F44" i="4"/>
  <c r="E44" i="4"/>
  <c r="D44" i="4"/>
  <c r="C44" i="4"/>
  <c r="F43" i="4"/>
  <c r="E43" i="4"/>
  <c r="D43" i="4"/>
  <c r="C43" i="4"/>
  <c r="F42" i="4"/>
  <c r="E42" i="4"/>
  <c r="D42" i="4"/>
  <c r="C42" i="4"/>
  <c r="F41" i="4"/>
  <c r="E41" i="4"/>
  <c r="D41" i="4"/>
  <c r="C41" i="4"/>
  <c r="F40" i="4"/>
  <c r="E40" i="4"/>
  <c r="D40" i="4"/>
  <c r="C40" i="4"/>
  <c r="F39" i="4"/>
  <c r="E39" i="4"/>
  <c r="D39" i="4"/>
  <c r="C39" i="4"/>
  <c r="F38" i="4"/>
  <c r="E38" i="4"/>
  <c r="D38" i="4"/>
  <c r="I38" i="4" s="1"/>
  <c r="C38" i="4"/>
  <c r="F37" i="4"/>
  <c r="E37" i="4"/>
  <c r="D37" i="4"/>
  <c r="I37" i="4" s="1"/>
  <c r="C37" i="4"/>
  <c r="F36" i="4"/>
  <c r="E36" i="4"/>
  <c r="D36" i="4"/>
  <c r="C36" i="4"/>
  <c r="F35" i="4"/>
  <c r="E35" i="4"/>
  <c r="D35" i="4"/>
  <c r="C35" i="4"/>
  <c r="F34" i="4"/>
  <c r="E34" i="4"/>
  <c r="D34" i="4"/>
  <c r="C34" i="4"/>
  <c r="F33" i="4"/>
  <c r="E33" i="4"/>
  <c r="D33" i="4"/>
  <c r="C33" i="4"/>
  <c r="F32" i="4"/>
  <c r="E32" i="4"/>
  <c r="D32" i="4"/>
  <c r="C32" i="4"/>
  <c r="F31" i="4"/>
  <c r="E31" i="4"/>
  <c r="D31" i="4"/>
  <c r="C31" i="4"/>
  <c r="F30" i="4"/>
  <c r="E30" i="4"/>
  <c r="D30" i="4"/>
  <c r="I30" i="4" s="1"/>
  <c r="C30" i="4"/>
  <c r="F29" i="4"/>
  <c r="E29" i="4"/>
  <c r="D29" i="4"/>
  <c r="I29" i="4" s="1"/>
  <c r="C29" i="4"/>
  <c r="F28" i="4"/>
  <c r="E28" i="4"/>
  <c r="D28" i="4"/>
  <c r="C28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I23" i="4"/>
  <c r="I22" i="4"/>
  <c r="F21" i="4"/>
  <c r="E21" i="4"/>
  <c r="D21" i="4"/>
  <c r="C21" i="4"/>
  <c r="F20" i="4"/>
  <c r="E20" i="4"/>
  <c r="D20" i="4"/>
  <c r="C20" i="4"/>
  <c r="F19" i="4"/>
  <c r="E19" i="4"/>
  <c r="D19" i="4"/>
  <c r="C19" i="4"/>
  <c r="F18" i="4"/>
  <c r="E18" i="4"/>
  <c r="D18" i="4"/>
  <c r="C18" i="4"/>
  <c r="F17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F7" i="4"/>
  <c r="E7" i="4"/>
  <c r="D7" i="4"/>
  <c r="C7" i="4"/>
  <c r="F6" i="4"/>
  <c r="E6" i="4"/>
  <c r="D6" i="4"/>
  <c r="C6" i="4"/>
  <c r="F5" i="4"/>
  <c r="E5" i="4"/>
  <c r="D5" i="4"/>
  <c r="C5" i="4"/>
  <c r="F4" i="4"/>
  <c r="E4" i="4"/>
  <c r="D4" i="4"/>
  <c r="C4" i="4"/>
  <c r="F3" i="4"/>
  <c r="E3" i="4"/>
  <c r="D3" i="4"/>
  <c r="C3" i="4"/>
  <c r="F2" i="4"/>
  <c r="E2" i="4"/>
  <c r="D2" i="4"/>
  <c r="C2" i="4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E24" i="2"/>
  <c r="D24" i="2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E2" i="2"/>
  <c r="D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K38" i="1" s="1"/>
  <c r="I39" i="1"/>
  <c r="I40" i="1"/>
  <c r="K40" i="1" s="1"/>
  <c r="I41" i="1"/>
  <c r="I42" i="1"/>
  <c r="I43" i="1"/>
  <c r="I44" i="1"/>
  <c r="K44" i="1" s="1"/>
  <c r="I45" i="1"/>
  <c r="I46" i="1"/>
  <c r="J46" i="1" s="1"/>
  <c r="I47" i="1"/>
  <c r="I48" i="1"/>
  <c r="I49" i="1"/>
  <c r="I50" i="1"/>
  <c r="I51" i="1"/>
  <c r="I52" i="1"/>
  <c r="I53" i="1"/>
  <c r="I54" i="1"/>
  <c r="I55" i="1"/>
  <c r="I56" i="1"/>
  <c r="K56" i="1" s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J223" i="1" s="1"/>
  <c r="I224" i="1"/>
  <c r="I225" i="1"/>
  <c r="I226" i="1"/>
  <c r="I227" i="1"/>
  <c r="I228" i="1"/>
  <c r="I229" i="1"/>
  <c r="I230" i="1"/>
  <c r="I231" i="1"/>
  <c r="J231" i="1" s="1"/>
  <c r="I232" i="1"/>
  <c r="I233" i="1"/>
  <c r="I234" i="1"/>
  <c r="I235" i="1"/>
  <c r="J235" i="1" s="1"/>
  <c r="I236" i="1"/>
  <c r="I237" i="1"/>
  <c r="J237" i="1" s="1"/>
  <c r="I238" i="1"/>
  <c r="I239" i="1"/>
  <c r="I240" i="1"/>
  <c r="I241" i="1"/>
  <c r="K241" i="1" s="1"/>
  <c r="I242" i="1"/>
  <c r="I243" i="1"/>
  <c r="J243" i="1" s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2" i="1"/>
  <c r="I22" i="2"/>
  <c r="I23" i="2"/>
  <c r="I58" i="4" l="1"/>
  <c r="I56" i="4"/>
  <c r="I46" i="4"/>
  <c r="I44" i="4"/>
  <c r="I35" i="4"/>
  <c r="I75" i="4"/>
  <c r="I60" i="4"/>
  <c r="I55" i="4"/>
  <c r="I54" i="4"/>
  <c r="I76" i="4"/>
  <c r="I64" i="4"/>
  <c r="I63" i="4"/>
  <c r="I57" i="4"/>
  <c r="I53" i="4"/>
  <c r="I43" i="4"/>
  <c r="I32" i="4"/>
  <c r="I65" i="4"/>
  <c r="I62" i="4"/>
  <c r="I36" i="4"/>
  <c r="I34" i="4"/>
  <c r="I49" i="4"/>
  <c r="I28" i="4"/>
  <c r="I26" i="4"/>
  <c r="I48" i="4"/>
  <c r="I41" i="4"/>
  <c r="I40" i="4"/>
  <c r="I31" i="4"/>
  <c r="I27" i="4"/>
  <c r="I16" i="4"/>
  <c r="I8" i="4"/>
  <c r="I13" i="4"/>
  <c r="I11" i="4"/>
  <c r="I10" i="4"/>
  <c r="I18" i="4"/>
  <c r="I14" i="4"/>
  <c r="I12" i="4"/>
  <c r="I17" i="4"/>
  <c r="I24" i="4"/>
  <c r="I74" i="4"/>
  <c r="I5" i="4"/>
  <c r="I42" i="4"/>
  <c r="I39" i="4"/>
  <c r="I33" i="4"/>
  <c r="I77" i="4"/>
  <c r="I20" i="4"/>
  <c r="I68" i="4"/>
  <c r="I61" i="4"/>
  <c r="I9" i="4"/>
  <c r="I21" i="4"/>
  <c r="I25" i="4"/>
  <c r="I99" i="4"/>
  <c r="I103" i="4"/>
  <c r="I102" i="4"/>
  <c r="I98" i="4"/>
  <c r="I96" i="4"/>
  <c r="I95" i="4"/>
  <c r="I93" i="4"/>
  <c r="I87" i="4"/>
  <c r="I92" i="4"/>
  <c r="I91" i="4"/>
  <c r="I85" i="4"/>
  <c r="I90" i="4"/>
  <c r="I89" i="4"/>
  <c r="I88" i="4"/>
  <c r="I86" i="4"/>
  <c r="I84" i="4"/>
  <c r="I51" i="4"/>
  <c r="I19" i="4"/>
  <c r="I15" i="4"/>
  <c r="I4" i="4"/>
  <c r="I3" i="4"/>
  <c r="I2" i="4"/>
  <c r="I7" i="4"/>
  <c r="I6" i="4"/>
  <c r="I101" i="4"/>
  <c r="I100" i="4"/>
  <c r="I97" i="4"/>
  <c r="I47" i="2"/>
  <c r="I55" i="2"/>
  <c r="I74" i="2"/>
  <c r="I91" i="2"/>
  <c r="I35" i="2"/>
  <c r="I67" i="2"/>
  <c r="I48" i="2"/>
  <c r="I79" i="2"/>
  <c r="F103" i="2"/>
  <c r="F66" i="2"/>
  <c r="F53" i="2"/>
  <c r="F49" i="2"/>
  <c r="F46" i="2"/>
  <c r="F41" i="2"/>
  <c r="F20" i="2"/>
  <c r="F15" i="2"/>
  <c r="F7" i="2"/>
  <c r="F2" i="2"/>
  <c r="C58" i="2"/>
  <c r="C50" i="2"/>
  <c r="C43" i="2"/>
  <c r="C29" i="2"/>
  <c r="C20" i="2"/>
  <c r="C14" i="2"/>
  <c r="C7" i="2"/>
  <c r="F69" i="2"/>
  <c r="F58" i="2"/>
  <c r="C103" i="2"/>
  <c r="C46" i="2"/>
  <c r="C33" i="2"/>
  <c r="C25" i="2"/>
  <c r="C11" i="2"/>
  <c r="C3" i="2"/>
  <c r="F35" i="2"/>
  <c r="F34" i="2"/>
  <c r="F33" i="2"/>
  <c r="F32" i="2"/>
  <c r="F31" i="2"/>
  <c r="F30" i="2"/>
  <c r="F29" i="2"/>
  <c r="F28" i="2"/>
  <c r="F27" i="2"/>
  <c r="F26" i="2"/>
  <c r="F25" i="2"/>
  <c r="F24" i="2"/>
  <c r="F21" i="2"/>
  <c r="F18" i="2"/>
  <c r="F12" i="2"/>
  <c r="F8" i="2"/>
  <c r="C64" i="2"/>
  <c r="C57" i="2"/>
  <c r="C49" i="2"/>
  <c r="C41" i="2"/>
  <c r="C31" i="2"/>
  <c r="C21" i="2"/>
  <c r="C10" i="2"/>
  <c r="C24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59" i="2"/>
  <c r="C51" i="2"/>
  <c r="C42" i="2"/>
  <c r="C35" i="2"/>
  <c r="C26" i="2"/>
  <c r="C17" i="2"/>
  <c r="C5" i="2"/>
  <c r="F93" i="2"/>
  <c r="F99" i="2"/>
  <c r="F56" i="2"/>
  <c r="F44" i="2"/>
  <c r="F38" i="2"/>
  <c r="F11" i="2"/>
  <c r="F5" i="2"/>
  <c r="C63" i="2"/>
  <c r="C55" i="2"/>
  <c r="C37" i="2"/>
  <c r="C27" i="2"/>
  <c r="C16" i="2"/>
  <c r="C8" i="2"/>
  <c r="F98" i="2"/>
  <c r="F59" i="2"/>
  <c r="F45" i="2"/>
  <c r="F39" i="2"/>
  <c r="F17" i="2"/>
  <c r="F10" i="2"/>
  <c r="F3" i="2"/>
  <c r="C62" i="2"/>
  <c r="C54" i="2"/>
  <c r="C48" i="2"/>
  <c r="C40" i="2"/>
  <c r="C34" i="2"/>
  <c r="C18" i="2"/>
  <c r="C12" i="2"/>
  <c r="C4" i="2"/>
  <c r="F101" i="2"/>
  <c r="F57" i="2"/>
  <c r="F43" i="2"/>
  <c r="F37" i="2"/>
  <c r="F14" i="2"/>
  <c r="F4" i="2"/>
  <c r="C61" i="2"/>
  <c r="C53" i="2"/>
  <c r="C45" i="2"/>
  <c r="C36" i="2"/>
  <c r="C28" i="2"/>
  <c r="C15" i="2"/>
  <c r="C9" i="2"/>
  <c r="F100" i="2"/>
  <c r="F97" i="2"/>
  <c r="F96" i="2"/>
  <c r="F95" i="2"/>
  <c r="F94" i="2"/>
  <c r="F91" i="2"/>
  <c r="F90" i="2"/>
  <c r="F88" i="2"/>
  <c r="F87" i="2"/>
  <c r="F84" i="2"/>
  <c r="F82" i="2"/>
  <c r="F80" i="2"/>
  <c r="F78" i="2"/>
  <c r="F76" i="2"/>
  <c r="F75" i="2"/>
  <c r="F73" i="2"/>
  <c r="F71" i="2"/>
  <c r="F63" i="2"/>
  <c r="F61" i="2"/>
  <c r="F54" i="2"/>
  <c r="F51" i="2"/>
  <c r="F48" i="2"/>
  <c r="F40" i="2"/>
  <c r="F36" i="2"/>
  <c r="F13" i="2"/>
  <c r="F6" i="2"/>
  <c r="C101" i="2"/>
  <c r="C56" i="2"/>
  <c r="C44" i="2"/>
  <c r="C38" i="2"/>
  <c r="C30" i="2"/>
  <c r="C19" i="2"/>
  <c r="C6" i="2"/>
  <c r="F102" i="2"/>
  <c r="F92" i="2"/>
  <c r="F89" i="2"/>
  <c r="F86" i="2"/>
  <c r="F85" i="2"/>
  <c r="F83" i="2"/>
  <c r="F81" i="2"/>
  <c r="F79" i="2"/>
  <c r="F77" i="2"/>
  <c r="F74" i="2"/>
  <c r="F72" i="2"/>
  <c r="F70" i="2"/>
  <c r="F68" i="2"/>
  <c r="F67" i="2"/>
  <c r="F65" i="2"/>
  <c r="F64" i="2"/>
  <c r="F62" i="2"/>
  <c r="F60" i="2"/>
  <c r="F55" i="2"/>
  <c r="F52" i="2"/>
  <c r="F50" i="2"/>
  <c r="F47" i="2"/>
  <c r="F42" i="2"/>
  <c r="F19" i="2"/>
  <c r="F16" i="2"/>
  <c r="F9" i="2"/>
  <c r="C102" i="2"/>
  <c r="C60" i="2"/>
  <c r="C52" i="2"/>
  <c r="C47" i="2"/>
  <c r="C39" i="2"/>
  <c r="C32" i="2"/>
  <c r="C13" i="2"/>
  <c r="C2" i="2"/>
  <c r="I31" i="2"/>
  <c r="I75" i="2"/>
  <c r="I87" i="2"/>
  <c r="I60" i="2"/>
  <c r="I97" i="2"/>
  <c r="I99" i="2"/>
  <c r="I81" i="2"/>
  <c r="I93" i="2"/>
  <c r="I4" i="2"/>
  <c r="I100" i="2"/>
  <c r="I5" i="2"/>
  <c r="I10" i="2"/>
  <c r="I13" i="2"/>
  <c r="I14" i="2"/>
  <c r="I16" i="2"/>
  <c r="I24" i="2"/>
  <c r="I17" i="2"/>
  <c r="I94" i="2"/>
  <c r="I88" i="2"/>
  <c r="I85" i="2"/>
  <c r="I82" i="2"/>
  <c r="I76" i="2"/>
  <c r="I73" i="2"/>
  <c r="I18" i="2"/>
  <c r="I12" i="2"/>
  <c r="I98" i="2"/>
  <c r="I96" i="2"/>
  <c r="I95" i="2"/>
  <c r="I86" i="2"/>
  <c r="I84" i="2"/>
  <c r="I83" i="2"/>
  <c r="I103" i="2"/>
  <c r="I72" i="2"/>
  <c r="I71" i="2"/>
  <c r="I70" i="2"/>
  <c r="I69" i="2"/>
  <c r="I64" i="2"/>
  <c r="I63" i="2"/>
  <c r="I62" i="2"/>
  <c r="I61" i="2"/>
  <c r="I59" i="2"/>
  <c r="I58" i="2"/>
  <c r="I57" i="2"/>
  <c r="I52" i="2"/>
  <c r="I51" i="2"/>
  <c r="I50" i="2"/>
  <c r="I49" i="2"/>
  <c r="I46" i="2"/>
  <c r="I45" i="2"/>
  <c r="I40" i="2"/>
  <c r="I39" i="2"/>
  <c r="I38" i="2"/>
  <c r="I37" i="2"/>
  <c r="I36" i="2"/>
  <c r="I34" i="2"/>
  <c r="I33" i="2"/>
  <c r="I28" i="2"/>
  <c r="I26" i="2"/>
  <c r="I25" i="2"/>
  <c r="I15" i="2"/>
  <c r="I9" i="2"/>
  <c r="I68" i="2"/>
  <c r="I44" i="2"/>
  <c r="I8" i="2"/>
  <c r="I43" i="2"/>
  <c r="I19" i="2"/>
  <c r="I102" i="2"/>
  <c r="I90" i="2"/>
  <c r="I78" i="2"/>
  <c r="I66" i="2"/>
  <c r="I54" i="2"/>
  <c r="I42" i="2"/>
  <c r="I30" i="2"/>
  <c r="I21" i="2"/>
  <c r="I92" i="2"/>
  <c r="I56" i="2"/>
  <c r="I6" i="2"/>
  <c r="I101" i="2"/>
  <c r="I89" i="2"/>
  <c r="I77" i="2"/>
  <c r="I65" i="2"/>
  <c r="I53" i="2"/>
  <c r="I41" i="2"/>
  <c r="I29" i="2"/>
  <c r="I3" i="2"/>
  <c r="I80" i="2"/>
  <c r="I32" i="2"/>
  <c r="I20" i="2"/>
  <c r="I2" i="2"/>
  <c r="I11" i="2"/>
  <c r="I7" i="2"/>
  <c r="I27" i="2"/>
</calcChain>
</file>

<file path=xl/sharedStrings.xml><?xml version="1.0" encoding="utf-8"?>
<sst xmlns="http://schemas.openxmlformats.org/spreadsheetml/2006/main" count="10543" uniqueCount="1115">
  <si>
    <t>Function</t>
  </si>
  <si>
    <t>Top-Pin</t>
  </si>
  <si>
    <t>CLK</t>
  </si>
  <si>
    <t>Bot-Pin</t>
  </si>
  <si>
    <t>GND</t>
  </si>
  <si>
    <t>5V</t>
  </si>
  <si>
    <t>H4</t>
  </si>
  <si>
    <t>G3</t>
  </si>
  <si>
    <t>F3</t>
  </si>
  <si>
    <t>F1</t>
  </si>
  <si>
    <t>J4</t>
  </si>
  <si>
    <t>L20</t>
  </si>
  <si>
    <t>NC</t>
  </si>
  <si>
    <t>K19</t>
  </si>
  <si>
    <t>ETH1_1P</t>
  </si>
  <si>
    <t>ETH2_1P</t>
  </si>
  <si>
    <t>J19</t>
  </si>
  <si>
    <t>ETH1_1N</t>
  </si>
  <si>
    <t>ETH2_1N</t>
  </si>
  <si>
    <t>G19</t>
  </si>
  <si>
    <t>ETH1_2N</t>
  </si>
  <si>
    <t>ETH2_2N</t>
  </si>
  <si>
    <t>ETH1_2P</t>
  </si>
  <si>
    <t>ETH2_2P</t>
  </si>
  <si>
    <t>ETH1_3P</t>
  </si>
  <si>
    <t>ETH2_3P</t>
  </si>
  <si>
    <t>ETH1_3N</t>
  </si>
  <si>
    <t>ETH2_3N</t>
  </si>
  <si>
    <t>ETH1_4N</t>
  </si>
  <si>
    <t>ETH2_4N</t>
  </si>
  <si>
    <t>ETH1_4P</t>
  </si>
  <si>
    <t>ETH2_4P</t>
  </si>
  <si>
    <t>U16</t>
  </si>
  <si>
    <t>R1</t>
  </si>
  <si>
    <t>T1</t>
  </si>
  <si>
    <t>U1</t>
  </si>
  <si>
    <t>Y2</t>
  </si>
  <si>
    <t>K18</t>
  </si>
  <si>
    <t>W1</t>
  </si>
  <si>
    <t>C18</t>
  </si>
  <si>
    <t>V1</t>
  </si>
  <si>
    <t>M1</t>
  </si>
  <si>
    <t>T18</t>
  </si>
  <si>
    <t>N2</t>
  </si>
  <si>
    <t>R18</t>
  </si>
  <si>
    <t>N3</t>
  </si>
  <si>
    <t>R17</t>
  </si>
  <si>
    <t>T2</t>
  </si>
  <si>
    <t>P17</t>
  </si>
  <si>
    <t>M3</t>
  </si>
  <si>
    <t>M17</t>
  </si>
  <si>
    <t>T3</t>
  </si>
  <si>
    <t>T17</t>
  </si>
  <si>
    <t>R3</t>
  </si>
  <si>
    <t>U18</t>
  </si>
  <si>
    <t>N4</t>
  </si>
  <si>
    <t>U17</t>
  </si>
  <si>
    <t>M4</t>
  </si>
  <si>
    <t>P18</t>
  </si>
  <si>
    <t>L4</t>
  </si>
  <si>
    <t>N17</t>
  </si>
  <si>
    <t>L5</t>
  </si>
  <si>
    <t>N18</t>
  </si>
  <si>
    <t>P16</t>
  </si>
  <si>
    <t>M18</t>
  </si>
  <si>
    <t>J16</t>
  </si>
  <si>
    <t>J18</t>
  </si>
  <si>
    <t>L18</t>
  </si>
  <si>
    <t>J17</t>
  </si>
  <si>
    <t>K20</t>
  </si>
  <si>
    <t>H18</t>
  </si>
  <si>
    <t>H17</t>
  </si>
  <si>
    <t>J20</t>
  </si>
  <si>
    <t>G18</t>
  </si>
  <si>
    <t>H16</t>
  </si>
  <si>
    <t>H20</t>
  </si>
  <si>
    <t>F18</t>
  </si>
  <si>
    <t>G20</t>
  </si>
  <si>
    <t>G16</t>
  </si>
  <si>
    <t>E18</t>
  </si>
  <si>
    <t>F20</t>
  </si>
  <si>
    <t>F17</t>
  </si>
  <si>
    <t>F19</t>
  </si>
  <si>
    <t>F16</t>
  </si>
  <si>
    <t>E20</t>
  </si>
  <si>
    <t>E16</t>
  </si>
  <si>
    <t>E19</t>
  </si>
  <si>
    <t>E17</t>
  </si>
  <si>
    <t>D20</t>
  </si>
  <si>
    <t>D18</t>
  </si>
  <si>
    <t>D19</t>
  </si>
  <si>
    <t>D17</t>
  </si>
  <si>
    <t>C20</t>
  </si>
  <si>
    <t>G5</t>
  </si>
  <si>
    <t>B20</t>
  </si>
  <si>
    <t>D16</t>
  </si>
  <si>
    <t>B19</t>
  </si>
  <si>
    <t>F5</t>
  </si>
  <si>
    <t>B18</t>
  </si>
  <si>
    <t>E6</t>
  </si>
  <si>
    <t>A19</t>
  </si>
  <si>
    <t>E5</t>
  </si>
  <si>
    <t>C17</t>
  </si>
  <si>
    <t>F4</t>
  </si>
  <si>
    <t>A18</t>
  </si>
  <si>
    <t>E4</t>
  </si>
  <si>
    <t>D3</t>
  </si>
  <si>
    <t>C4</t>
  </si>
  <si>
    <t>B4</t>
  </si>
  <si>
    <t>C3</t>
  </si>
  <si>
    <t>H3</t>
  </si>
  <si>
    <t>E3</t>
  </si>
  <si>
    <t>A3</t>
  </si>
  <si>
    <t>H5</t>
  </si>
  <si>
    <t>C2</t>
  </si>
  <si>
    <t>B1</t>
  </si>
  <si>
    <t>J5</t>
  </si>
  <si>
    <t>C1</t>
  </si>
  <si>
    <t>K3</t>
  </si>
  <si>
    <t>D2</t>
  </si>
  <si>
    <t>K4</t>
  </si>
  <si>
    <t>D1</t>
  </si>
  <si>
    <t>K5</t>
  </si>
  <si>
    <t>E2</t>
  </si>
  <si>
    <t>B3</t>
  </si>
  <si>
    <t>E1</t>
  </si>
  <si>
    <t>A2</t>
  </si>
  <si>
    <t>F2</t>
  </si>
  <si>
    <t>B2</t>
  </si>
  <si>
    <t>PAD</t>
  </si>
  <si>
    <t>Pin/Ball Function</t>
  </si>
  <si>
    <t>Bank</t>
  </si>
  <si>
    <t>Dual Function</t>
  </si>
  <si>
    <t>Differential</t>
  </si>
  <si>
    <t>High Speed</t>
  </si>
  <si>
    <t>DQS</t>
  </si>
  <si>
    <t>CABGA381</t>
  </si>
  <si>
    <t>SO-DIMM Pin</t>
  </si>
  <si>
    <t>PL2A</t>
  </si>
  <si>
    <t>-</t>
  </si>
  <si>
    <t>True_OF_PL2B</t>
  </si>
  <si>
    <t>LDQ8</t>
  </si>
  <si>
    <t>A4</t>
  </si>
  <si>
    <t>PL2B</t>
  </si>
  <si>
    <t>Comp_OF_PL2A</t>
  </si>
  <si>
    <t>A5</t>
  </si>
  <si>
    <t>VSSIO7</t>
  </si>
  <si>
    <t>PL2C</t>
  </si>
  <si>
    <t>True_OF_PL2D</t>
  </si>
  <si>
    <t>B5</t>
  </si>
  <si>
    <t>VCCIO7</t>
  </si>
  <si>
    <t>PL2D</t>
  </si>
  <si>
    <t>Comp_OF_PL2C</t>
  </si>
  <si>
    <t>C5</t>
  </si>
  <si>
    <t>PL5A</t>
  </si>
  <si>
    <t>True_OF_PL5B</t>
  </si>
  <si>
    <t>VCCAUX</t>
  </si>
  <si>
    <t>PL5C</t>
  </si>
  <si>
    <t>True_OF_PL5D</t>
  </si>
  <si>
    <t>PL5B</t>
  </si>
  <si>
    <t>Comp_OF_PL5A</t>
  </si>
  <si>
    <t>VSS</t>
  </si>
  <si>
    <t>PL5D</t>
  </si>
  <si>
    <t>Comp_OF_PL5C</t>
  </si>
  <si>
    <t>PL8A</t>
  </si>
  <si>
    <t>True_OF_PL8B</t>
  </si>
  <si>
    <t>LDQS8</t>
  </si>
  <si>
    <t>VCC</t>
  </si>
  <si>
    <t>PL8C</t>
  </si>
  <si>
    <t>True_OF_PL8D</t>
  </si>
  <si>
    <t>PL8B</t>
  </si>
  <si>
    <t>Comp_OF_PL8A</t>
  </si>
  <si>
    <t>LDQSN8</t>
  </si>
  <si>
    <t>D5</t>
  </si>
  <si>
    <t>PL8D</t>
  </si>
  <si>
    <t>Comp_OF_PL8C</t>
  </si>
  <si>
    <t>PL11A</t>
  </si>
  <si>
    <t>True_OF_PL11B</t>
  </si>
  <si>
    <t>PL11C</t>
  </si>
  <si>
    <t>True_OF_PL11D</t>
  </si>
  <si>
    <t>PL11B</t>
  </si>
  <si>
    <t>Comp_OF_PL11A</t>
  </si>
  <si>
    <t>PL11D</t>
  </si>
  <si>
    <t>Comp_OF_PL11C</t>
  </si>
  <si>
    <t>PL14A</t>
  </si>
  <si>
    <t>True_OF_PL14B</t>
  </si>
  <si>
    <t>LDQ20</t>
  </si>
  <si>
    <t>PL14C</t>
  </si>
  <si>
    <t>VREF1_7</t>
  </si>
  <si>
    <t>True_OF_PL14D</t>
  </si>
  <si>
    <t>PL14B</t>
  </si>
  <si>
    <t>Comp_OF_PL14A</t>
  </si>
  <si>
    <t>PL14D</t>
  </si>
  <si>
    <t>Comp_OF_PL14C</t>
  </si>
  <si>
    <t>PL17A</t>
  </si>
  <si>
    <t>True_OF_PL17B</t>
  </si>
  <si>
    <t>PL17C</t>
  </si>
  <si>
    <t>True_OF_PL17D</t>
  </si>
  <si>
    <t>PL17B</t>
  </si>
  <si>
    <t>Comp_OF_PL17A</t>
  </si>
  <si>
    <t>PL17D</t>
  </si>
  <si>
    <t>Comp_OF_PL17C</t>
  </si>
  <si>
    <t>PL20A</t>
  </si>
  <si>
    <t>GR_PCLK7_1</t>
  </si>
  <si>
    <t>True_OF_PL20B</t>
  </si>
  <si>
    <t>LDQS20</t>
  </si>
  <si>
    <t>PL20C</t>
  </si>
  <si>
    <t>GR_PCLK7_0</t>
  </si>
  <si>
    <t>True_OF_PL20D</t>
  </si>
  <si>
    <t>PL20B</t>
  </si>
  <si>
    <t>Comp_OF_PL20A</t>
  </si>
  <si>
    <t>LDQSN20</t>
  </si>
  <si>
    <t>PL20D</t>
  </si>
  <si>
    <t>Comp_OF_PL20C</t>
  </si>
  <si>
    <t>PL23A</t>
  </si>
  <si>
    <t>PCLKT7_1</t>
  </si>
  <si>
    <t>True_OF_PL23B</t>
  </si>
  <si>
    <t>PL23C</t>
  </si>
  <si>
    <t>PCLKT7_0</t>
  </si>
  <si>
    <t>True_OF_PL23D</t>
  </si>
  <si>
    <t>PL23B</t>
  </si>
  <si>
    <t>PCLKC7_1</t>
  </si>
  <si>
    <t>Comp_OF_PL23A</t>
  </si>
  <si>
    <t>PL23D</t>
  </si>
  <si>
    <t>PCLKC7_0</t>
  </si>
  <si>
    <t>Comp_OF_PL23C</t>
  </si>
  <si>
    <t>PL26A</t>
  </si>
  <si>
    <t>PCLKT6_1</t>
  </si>
  <si>
    <t>True_OF_PL26B</t>
  </si>
  <si>
    <t>LDQ32</t>
  </si>
  <si>
    <t>G2</t>
  </si>
  <si>
    <t>VSSIO6</t>
  </si>
  <si>
    <t>PL26C</t>
  </si>
  <si>
    <t>PCLKT6_0</t>
  </si>
  <si>
    <t>True_OF_PL26D</t>
  </si>
  <si>
    <t>H2</t>
  </si>
  <si>
    <t>PL26B</t>
  </si>
  <si>
    <t>PCLKC6_1</t>
  </si>
  <si>
    <t>Comp_OF_PL26A</t>
  </si>
  <si>
    <t>VCCIO6</t>
  </si>
  <si>
    <t>PL26D</t>
  </si>
  <si>
    <t>PCLKC6_0</t>
  </si>
  <si>
    <t>Comp_OF_PL26C</t>
  </si>
  <si>
    <t>G1</t>
  </si>
  <si>
    <t>PL29A</t>
  </si>
  <si>
    <t>GR_PCLK6_0</t>
  </si>
  <si>
    <t>True_OF_PL29B</t>
  </si>
  <si>
    <t>PL29C</t>
  </si>
  <si>
    <t>GR_PCLK6_1</t>
  </si>
  <si>
    <t>True_OF_PL29D</t>
  </si>
  <si>
    <t>J3</t>
  </si>
  <si>
    <t>PL29B</t>
  </si>
  <si>
    <t>Comp_OF_PL29A</t>
  </si>
  <si>
    <t>PL29D</t>
  </si>
  <si>
    <t>Comp_OF_PL29C</t>
  </si>
  <si>
    <t>PL32A</t>
  </si>
  <si>
    <t>True_OF_PL32B</t>
  </si>
  <si>
    <t>LDQS32</t>
  </si>
  <si>
    <t>K2</t>
  </si>
  <si>
    <t>PL32C</t>
  </si>
  <si>
    <t>True_OF_PL32D</t>
  </si>
  <si>
    <t>H1</t>
  </si>
  <si>
    <t>PL32B</t>
  </si>
  <si>
    <t>Comp_OF_PL32A</t>
  </si>
  <si>
    <t>LDQSN32</t>
  </si>
  <si>
    <t>J1</t>
  </si>
  <si>
    <t>PL32D</t>
  </si>
  <si>
    <t>Comp_OF_PL32C</t>
  </si>
  <si>
    <t>K1</t>
  </si>
  <si>
    <t>PL35A</t>
  </si>
  <si>
    <t>True_OF_PL35B</t>
  </si>
  <si>
    <t>PL35C</t>
  </si>
  <si>
    <t>True_OF_PL35D</t>
  </si>
  <si>
    <t>PL35B</t>
  </si>
  <si>
    <t>VREF1_6</t>
  </si>
  <si>
    <t>Comp_OF_PL35A</t>
  </si>
  <si>
    <t>PL35D</t>
  </si>
  <si>
    <t>Comp_OF_PL35C</t>
  </si>
  <si>
    <t>PL38A</t>
  </si>
  <si>
    <t>True_OF_PL38B</t>
  </si>
  <si>
    <t>LDQ44</t>
  </si>
  <si>
    <t>PL38C</t>
  </si>
  <si>
    <t>True_OF_PL38D</t>
  </si>
  <si>
    <t>PL38B</t>
  </si>
  <si>
    <t>Comp_OF_PL38A</t>
  </si>
  <si>
    <t>N5</t>
  </si>
  <si>
    <t>PL38D</t>
  </si>
  <si>
    <t>Comp_OF_PL38C</t>
  </si>
  <si>
    <t>P5</t>
  </si>
  <si>
    <t>PL41A</t>
  </si>
  <si>
    <t>True_OF_PL41B</t>
  </si>
  <si>
    <t>PL41C</t>
  </si>
  <si>
    <t>True_OF_PL41D</t>
  </si>
  <si>
    <t>L3</t>
  </si>
  <si>
    <t>PL41B</t>
  </si>
  <si>
    <t>Comp_OF_PL41A</t>
  </si>
  <si>
    <t>PL41D</t>
  </si>
  <si>
    <t>Comp_OF_PL41C</t>
  </si>
  <si>
    <t>L2</t>
  </si>
  <si>
    <t>PL44A</t>
  </si>
  <si>
    <t>True_OF_PL44B</t>
  </si>
  <si>
    <t>LDQS44</t>
  </si>
  <si>
    <t>PL44C</t>
  </si>
  <si>
    <t>True_OF_PL44D</t>
  </si>
  <si>
    <t>L1</t>
  </si>
  <si>
    <t>PL44B</t>
  </si>
  <si>
    <t>Comp_OF_PL44A</t>
  </si>
  <si>
    <t>LDQSN44</t>
  </si>
  <si>
    <t>PL44D</t>
  </si>
  <si>
    <t>Comp_OF_PL44C</t>
  </si>
  <si>
    <t>N1</t>
  </si>
  <si>
    <t>PL47A</t>
  </si>
  <si>
    <t>True_OF_PL47B</t>
  </si>
  <si>
    <t>P1</t>
  </si>
  <si>
    <t>PL47B</t>
  </si>
  <si>
    <t>Comp_OF_PL47A</t>
  </si>
  <si>
    <t>P2</t>
  </si>
  <si>
    <t>PL47C</t>
  </si>
  <si>
    <t>LLC_GPLL0T_IN</t>
  </si>
  <si>
    <t>True_OF_PL47D</t>
  </si>
  <si>
    <t>P3</t>
  </si>
  <si>
    <t>PL47D</t>
  </si>
  <si>
    <t>LLC_GPLL0C_IN</t>
  </si>
  <si>
    <t>Comp_OF_PL47C</t>
  </si>
  <si>
    <t>P4</t>
  </si>
  <si>
    <t>PB4A</t>
  </si>
  <si>
    <t>D7/IO7</t>
  </si>
  <si>
    <t>True_OF_PB4B</t>
  </si>
  <si>
    <t>PB6A</t>
  </si>
  <si>
    <t>D5/MISO2/IO5</t>
  </si>
  <si>
    <t>True_OF_PB6B</t>
  </si>
  <si>
    <t>PB4B</t>
  </si>
  <si>
    <t>D6/IO6</t>
  </si>
  <si>
    <t>Comp_OF_PB4A</t>
  </si>
  <si>
    <t>PB6B</t>
  </si>
  <si>
    <t>D4/MOSI2/IO4</t>
  </si>
  <si>
    <t>Comp_OF_PB6A</t>
  </si>
  <si>
    <t>PB9A</t>
  </si>
  <si>
    <t>D3/IO3</t>
  </si>
  <si>
    <t>True_OF_PB9B</t>
  </si>
  <si>
    <t>PB11A</t>
  </si>
  <si>
    <t>D1/MISO/IO1</t>
  </si>
  <si>
    <t>True_OF_PB11B</t>
  </si>
  <si>
    <t>V2</t>
  </si>
  <si>
    <t>VSSIO8</t>
  </si>
  <si>
    <t>PB9B</t>
  </si>
  <si>
    <t>D2/IO2</t>
  </si>
  <si>
    <t>Comp_OF_PB9A</t>
  </si>
  <si>
    <t>PB11B</t>
  </si>
  <si>
    <t>D0/MOSI/IO0</t>
  </si>
  <si>
    <t>Comp_OF_PB11A</t>
  </si>
  <si>
    <t>W2</t>
  </si>
  <si>
    <t>VCCIO8</t>
  </si>
  <si>
    <t>PB13A</t>
  </si>
  <si>
    <t>SN/CSN</t>
  </si>
  <si>
    <t>True_OF_PB13B</t>
  </si>
  <si>
    <t>PB15A</t>
  </si>
  <si>
    <t>HOLDN/DI/BUSY/CSSPIN/CEN</t>
  </si>
  <si>
    <t>True_OF_PB15B</t>
  </si>
  <si>
    <t>R2</t>
  </si>
  <si>
    <t>PB13B</t>
  </si>
  <si>
    <t>CS1N</t>
  </si>
  <si>
    <t>Comp_OF_PB13A</t>
  </si>
  <si>
    <t>U2</t>
  </si>
  <si>
    <t>PB15B</t>
  </si>
  <si>
    <t>DOUT/CSON</t>
  </si>
  <si>
    <t>Comp_OF_PB15A</t>
  </si>
  <si>
    <t>PB18A</t>
  </si>
  <si>
    <t>WRITEN</t>
  </si>
  <si>
    <t>INITN</t>
  </si>
  <si>
    <t>V3</t>
  </si>
  <si>
    <t>CCLK</t>
  </si>
  <si>
    <t>MCLK/SCK</t>
  </si>
  <si>
    <t>U3</t>
  </si>
  <si>
    <t>PROGRAMN</t>
  </si>
  <si>
    <t>W3</t>
  </si>
  <si>
    <t>DONE</t>
  </si>
  <si>
    <t>Y3</t>
  </si>
  <si>
    <t>CFG_1</t>
  </si>
  <si>
    <t>T4</t>
  </si>
  <si>
    <t>CFG_2</t>
  </si>
  <si>
    <t>R4</t>
  </si>
  <si>
    <t>CFG_0</t>
  </si>
  <si>
    <t>U4</t>
  </si>
  <si>
    <t>TDO</t>
  </si>
  <si>
    <t>V4</t>
  </si>
  <si>
    <t>TCK</t>
  </si>
  <si>
    <t>T5</t>
  </si>
  <si>
    <t>TDI</t>
  </si>
  <si>
    <t>R5</t>
  </si>
  <si>
    <t>TMS</t>
  </si>
  <si>
    <t>U5</t>
  </si>
  <si>
    <t>RESERVED</t>
  </si>
  <si>
    <t>W4</t>
  </si>
  <si>
    <t>T7</t>
  </si>
  <si>
    <t>W5</t>
  </si>
  <si>
    <t>Y5</t>
  </si>
  <si>
    <t>T8</t>
  </si>
  <si>
    <t>Y6</t>
  </si>
  <si>
    <t>Y7</t>
  </si>
  <si>
    <t>T9</t>
  </si>
  <si>
    <t>Y8</t>
  </si>
  <si>
    <t>W8</t>
  </si>
  <si>
    <t>T10</t>
  </si>
  <si>
    <t>W9</t>
  </si>
  <si>
    <t>W10</t>
  </si>
  <si>
    <t>W11</t>
  </si>
  <si>
    <t>Y11</t>
  </si>
  <si>
    <t>Y12</t>
  </si>
  <si>
    <t>PR47D</t>
  </si>
  <si>
    <t>LRC_GPLL0C_IN</t>
  </si>
  <si>
    <t>Comp_OF_PR47C</t>
  </si>
  <si>
    <t>RDQ44</t>
  </si>
  <si>
    <t>PR47C</t>
  </si>
  <si>
    <t>LRC_GPLL0T_IN</t>
  </si>
  <si>
    <t>True_OF_PR47D</t>
  </si>
  <si>
    <t>VCCIO3</t>
  </si>
  <si>
    <t>PR47B</t>
  </si>
  <si>
    <t>Comp_OF_PR47A</t>
  </si>
  <si>
    <t>VSSIO3</t>
  </si>
  <si>
    <t>PR47A</t>
  </si>
  <si>
    <t>True_OF_PR47B</t>
  </si>
  <si>
    <t>PR44D</t>
  </si>
  <si>
    <t>Comp_OF_PR44C</t>
  </si>
  <si>
    <t>PR44B</t>
  </si>
  <si>
    <t>Comp_OF_PR44A</t>
  </si>
  <si>
    <t>RDQSN44</t>
  </si>
  <si>
    <t>PR44C</t>
  </si>
  <si>
    <t>True_OF_PR44D</t>
  </si>
  <si>
    <t>U19</t>
  </si>
  <si>
    <t>PR44A</t>
  </si>
  <si>
    <t>True_OF_PR44B</t>
  </si>
  <si>
    <t>RDQS44</t>
  </si>
  <si>
    <t>T19</t>
  </si>
  <si>
    <t>PR41D</t>
  </si>
  <si>
    <t>Comp_OF_PR41C</t>
  </si>
  <si>
    <t>U20</t>
  </si>
  <si>
    <t>PR41B</t>
  </si>
  <si>
    <t>Comp_OF_PR41A</t>
  </si>
  <si>
    <t>R20</t>
  </si>
  <si>
    <t>PR41C</t>
  </si>
  <si>
    <t>True_OF_PR41D</t>
  </si>
  <si>
    <t>T20</t>
  </si>
  <si>
    <t>PR41A</t>
  </si>
  <si>
    <t>True_OF_PR41B</t>
  </si>
  <si>
    <t>P20</t>
  </si>
  <si>
    <t>PR38D</t>
  </si>
  <si>
    <t>Comp_OF_PR38C</t>
  </si>
  <si>
    <t>PR38B</t>
  </si>
  <si>
    <t>Comp_OF_PR38A</t>
  </si>
  <si>
    <t>N20</t>
  </si>
  <si>
    <t>PR38C</t>
  </si>
  <si>
    <t>True_OF_PR38D</t>
  </si>
  <si>
    <t>P19</t>
  </si>
  <si>
    <t>PR38A</t>
  </si>
  <si>
    <t>True_OF_PR38B</t>
  </si>
  <si>
    <t>N19</t>
  </si>
  <si>
    <t>PR35D</t>
  </si>
  <si>
    <t>Comp_OF_PR35C</t>
  </si>
  <si>
    <t>RDQ32</t>
  </si>
  <si>
    <t>PR35B</t>
  </si>
  <si>
    <t>VREF1_3</t>
  </si>
  <si>
    <t>Comp_OF_PR35A</t>
  </si>
  <si>
    <t>PR35C</t>
  </si>
  <si>
    <t>True_OF_PR35D</t>
  </si>
  <si>
    <t>R16</t>
  </si>
  <si>
    <t>PR35A</t>
  </si>
  <si>
    <t>True_OF_PR35B</t>
  </si>
  <si>
    <t>PR32D</t>
  </si>
  <si>
    <t>Comp_OF_PR32C</t>
  </si>
  <si>
    <t>PR32B</t>
  </si>
  <si>
    <t>Comp_OF_PR32A</t>
  </si>
  <si>
    <t>RDQSN32</t>
  </si>
  <si>
    <t>PR32C</t>
  </si>
  <si>
    <t>True_OF_PR32D</t>
  </si>
  <si>
    <t>PR32A</t>
  </si>
  <si>
    <t>True_OF_PR32B</t>
  </si>
  <si>
    <t>RDQS32</t>
  </si>
  <si>
    <t>N16</t>
  </si>
  <si>
    <t>PR29D</t>
  </si>
  <si>
    <t>Comp_OF_PR29C</t>
  </si>
  <si>
    <t>PR29B</t>
  </si>
  <si>
    <t>Comp_OF_PR29A</t>
  </si>
  <si>
    <t>L17</t>
  </si>
  <si>
    <t>PR29C</t>
  </si>
  <si>
    <t>GR_PCLK3_1</t>
  </si>
  <si>
    <t>True_OF_PR29D</t>
  </si>
  <si>
    <t>PR29A</t>
  </si>
  <si>
    <t>GR_PCLK3_0</t>
  </si>
  <si>
    <t>True_OF_PR29B</t>
  </si>
  <si>
    <t>L16</t>
  </si>
  <si>
    <t>PR26D</t>
  </si>
  <si>
    <t>PCLKC3_0</t>
  </si>
  <si>
    <t>Comp_OF_PR26C</t>
  </si>
  <si>
    <t>M19</t>
  </si>
  <si>
    <t>PR26B</t>
  </si>
  <si>
    <t>PCLKC3_1</t>
  </si>
  <si>
    <t>Comp_OF_PR26A</t>
  </si>
  <si>
    <t>M20</t>
  </si>
  <si>
    <t>PR26C</t>
  </si>
  <si>
    <t>PCLKT3_0</t>
  </si>
  <si>
    <t>True_OF_PR26D</t>
  </si>
  <si>
    <t>L19</t>
  </si>
  <si>
    <t>PR26A</t>
  </si>
  <si>
    <t>PCLKT3_1</t>
  </si>
  <si>
    <t>True_OF_PR26B</t>
  </si>
  <si>
    <t>PR23D</t>
  </si>
  <si>
    <t>PCLKC2_0</t>
  </si>
  <si>
    <t>Comp_OF_PR23C</t>
  </si>
  <si>
    <t>RDQ20</t>
  </si>
  <si>
    <t>VCCIO2</t>
  </si>
  <si>
    <t>PR23B</t>
  </si>
  <si>
    <t>PCLKC2_1</t>
  </si>
  <si>
    <t>Comp_OF_PR23A</t>
  </si>
  <si>
    <t>PR23C</t>
  </si>
  <si>
    <t>PCLKT2_0</t>
  </si>
  <si>
    <t>True_OF_PR23D</t>
  </si>
  <si>
    <t>VSSIO2</t>
  </si>
  <si>
    <t>PR23A</t>
  </si>
  <si>
    <t>PCLKT2_1</t>
  </si>
  <si>
    <t>True_OF_PR23B</t>
  </si>
  <si>
    <t>PR20D</t>
  </si>
  <si>
    <t>Comp_OF_PR20C</t>
  </si>
  <si>
    <t>PR20B</t>
  </si>
  <si>
    <t>Comp_OF_PR20A</t>
  </si>
  <si>
    <t>RDQSN20</t>
  </si>
  <si>
    <t>PR20C</t>
  </si>
  <si>
    <t>GR_PCLK2_0</t>
  </si>
  <si>
    <t>True_OF_PR20D</t>
  </si>
  <si>
    <t>PR20A</t>
  </si>
  <si>
    <t>GR_PCLK2_1</t>
  </si>
  <si>
    <t>True_OF_PR20B</t>
  </si>
  <si>
    <t>RDQS20</t>
  </si>
  <si>
    <t>PR17D</t>
  </si>
  <si>
    <t>Comp_OF_PR17C</t>
  </si>
  <si>
    <t>PR17B</t>
  </si>
  <si>
    <t>Comp_OF_PR17A</t>
  </si>
  <si>
    <t>PR17C</t>
  </si>
  <si>
    <t>True_OF_PR17D</t>
  </si>
  <si>
    <t>PR17A</t>
  </si>
  <si>
    <t>True_OF_PR17B</t>
  </si>
  <si>
    <t>PR14D</t>
  </si>
  <si>
    <t>Comp_OF_PR14C</t>
  </si>
  <si>
    <t>PR14B</t>
  </si>
  <si>
    <t>Comp_OF_PR14A</t>
  </si>
  <si>
    <t>PR14C</t>
  </si>
  <si>
    <t>VREF1_2</t>
  </si>
  <si>
    <t>True_OF_PR14D</t>
  </si>
  <si>
    <t>PR14A</t>
  </si>
  <si>
    <t>True_OF_PR14B</t>
  </si>
  <si>
    <t>PR11D</t>
  </si>
  <si>
    <t>Comp_OF_PR11C</t>
  </si>
  <si>
    <t>RDQ8</t>
  </si>
  <si>
    <t>PR11B</t>
  </si>
  <si>
    <t>Comp_OF_PR11A</t>
  </si>
  <si>
    <t>PR11C</t>
  </si>
  <si>
    <t>True_OF_PR11D</t>
  </si>
  <si>
    <t>PR11A</t>
  </si>
  <si>
    <t>True_OF_PR11B</t>
  </si>
  <si>
    <t>PR8D</t>
  </si>
  <si>
    <t>Comp_OF_PR8C</t>
  </si>
  <si>
    <t>PR8B</t>
  </si>
  <si>
    <t>Comp_OF_PR8A</t>
  </si>
  <si>
    <t>RDQSN8</t>
  </si>
  <si>
    <t>PR8C</t>
  </si>
  <si>
    <t>True_OF_PR8D</t>
  </si>
  <si>
    <t>PR8A</t>
  </si>
  <si>
    <t>True_OF_PR8B</t>
  </si>
  <si>
    <t>RDQS8</t>
  </si>
  <si>
    <t>PR5D</t>
  </si>
  <si>
    <t>Comp_OF_PR5C</t>
  </si>
  <si>
    <t>PR5B</t>
  </si>
  <si>
    <t>Comp_OF_PR5A</t>
  </si>
  <si>
    <t>PR5C</t>
  </si>
  <si>
    <t>True_OF_PR5D</t>
  </si>
  <si>
    <t>PR5A</t>
  </si>
  <si>
    <t>True_OF_PR5B</t>
  </si>
  <si>
    <t>PR2D</t>
  </si>
  <si>
    <t>Comp_OF_PR2C</t>
  </si>
  <si>
    <t>PR2C</t>
  </si>
  <si>
    <t>True_OF_PR2D</t>
  </si>
  <si>
    <t>PR2B</t>
  </si>
  <si>
    <t>S0_IN</t>
  </si>
  <si>
    <t>Comp_OF_PR2A</t>
  </si>
  <si>
    <t>PR2A</t>
  </si>
  <si>
    <t>True_OF_PR2B</t>
  </si>
  <si>
    <t>PT67B</t>
  </si>
  <si>
    <t>Comp_OF_PT67A</t>
  </si>
  <si>
    <t>VCCIO1</t>
  </si>
  <si>
    <t>PT65B</t>
  </si>
  <si>
    <t>Comp_OF_PT65A</t>
  </si>
  <si>
    <t>PT67A</t>
  </si>
  <si>
    <t>True_OF_PT67B</t>
  </si>
  <si>
    <t>VSSIO1</t>
  </si>
  <si>
    <t>PT65A</t>
  </si>
  <si>
    <t>True_OF_PT65B</t>
  </si>
  <si>
    <t>PT62B</t>
  </si>
  <si>
    <t>Comp_OF_PT62A</t>
  </si>
  <si>
    <t>PT60B</t>
  </si>
  <si>
    <t>Comp_OF_PT60A</t>
  </si>
  <si>
    <t>PT62A</t>
  </si>
  <si>
    <t>True_OF_PT62B</t>
  </si>
  <si>
    <t>A17</t>
  </si>
  <si>
    <t>PT60A</t>
  </si>
  <si>
    <t>True_OF_PT60B</t>
  </si>
  <si>
    <t>B17</t>
  </si>
  <si>
    <t>PT58B</t>
  </si>
  <si>
    <t>Comp_OF_PT58A</t>
  </si>
  <si>
    <t>PT56B</t>
  </si>
  <si>
    <t>Comp_OF_PT56A</t>
  </si>
  <si>
    <t>B16</t>
  </si>
  <si>
    <t>PT58A</t>
  </si>
  <si>
    <t>True_OF_PT58B</t>
  </si>
  <si>
    <t>C16</t>
  </si>
  <si>
    <t>PT56A</t>
  </si>
  <si>
    <t>True_OF_PT56B</t>
  </si>
  <si>
    <t>A16</t>
  </si>
  <si>
    <t>PT53B</t>
  </si>
  <si>
    <t>Comp_OF_PT53A</t>
  </si>
  <si>
    <t>E15</t>
  </si>
  <si>
    <t>PT51B</t>
  </si>
  <si>
    <t>Comp_OF_PT51A</t>
  </si>
  <si>
    <t>C15</t>
  </si>
  <si>
    <t>PT53A</t>
  </si>
  <si>
    <t>True_OF_PT53B</t>
  </si>
  <si>
    <t>D15</t>
  </si>
  <si>
    <t>PT51A</t>
  </si>
  <si>
    <t>True_OF_PT51B</t>
  </si>
  <si>
    <t>B15</t>
  </si>
  <si>
    <t>PT49B</t>
  </si>
  <si>
    <t>Comp_OF_PT49A</t>
  </si>
  <si>
    <t>E14</t>
  </si>
  <si>
    <t>PT47B</t>
  </si>
  <si>
    <t>Comp_OF_PT47A</t>
  </si>
  <si>
    <t>C14</t>
  </si>
  <si>
    <t>PT49A</t>
  </si>
  <si>
    <t>True_OF_PT49B</t>
  </si>
  <si>
    <t>D14</t>
  </si>
  <si>
    <t>PT47A</t>
  </si>
  <si>
    <t>True_OF_PT47B</t>
  </si>
  <si>
    <t>A14</t>
  </si>
  <si>
    <t>PT44B</t>
  </si>
  <si>
    <t>Comp_OF_PT44A</t>
  </si>
  <si>
    <t>E13</t>
  </si>
  <si>
    <t>PT42B</t>
  </si>
  <si>
    <t>Comp_OF_PT42A</t>
  </si>
  <si>
    <t>C13</t>
  </si>
  <si>
    <t>PT44A</t>
  </si>
  <si>
    <t>True_OF_PT44B</t>
  </si>
  <si>
    <t>D13</t>
  </si>
  <si>
    <t>PT42A</t>
  </si>
  <si>
    <t>True_OF_PT42B</t>
  </si>
  <si>
    <t>B13</t>
  </si>
  <si>
    <t>PT40B</t>
  </si>
  <si>
    <t>Comp_OF_PT40A</t>
  </si>
  <si>
    <t>A13</t>
  </si>
  <si>
    <t>PT38B</t>
  </si>
  <si>
    <t>GR_PCLK1_1</t>
  </si>
  <si>
    <t>Comp_OF_PT38A</t>
  </si>
  <si>
    <t>E12</t>
  </si>
  <si>
    <t>PT40A</t>
  </si>
  <si>
    <t>True_OF_PT40B</t>
  </si>
  <si>
    <t>A12</t>
  </si>
  <si>
    <t>PT38A</t>
  </si>
  <si>
    <t>GR_PCLK1_0</t>
  </si>
  <si>
    <t>True_OF_PT38B</t>
  </si>
  <si>
    <t>D12</t>
  </si>
  <si>
    <t>PT35B</t>
  </si>
  <si>
    <t>PCLKC1_0</t>
  </si>
  <si>
    <t>Comp_OF_PT35A</t>
  </si>
  <si>
    <t>C12</t>
  </si>
  <si>
    <t>PT33B</t>
  </si>
  <si>
    <t>PCLKC1_1</t>
  </si>
  <si>
    <t>Comp_OF_PT33A</t>
  </si>
  <si>
    <t>E11</t>
  </si>
  <si>
    <t>PT35A</t>
  </si>
  <si>
    <t>PCLKT1_0</t>
  </si>
  <si>
    <t>True_OF_PT35B</t>
  </si>
  <si>
    <t>B12</t>
  </si>
  <si>
    <t>PT33A</t>
  </si>
  <si>
    <t>PCLKT1_1</t>
  </si>
  <si>
    <t>True_OF_PT33B</t>
  </si>
  <si>
    <t>D11</t>
  </si>
  <si>
    <t>PT29B</t>
  </si>
  <si>
    <t>PCLKC0_0</t>
  </si>
  <si>
    <t>Comp_OF_PT29A</t>
  </si>
  <si>
    <t>C11</t>
  </si>
  <si>
    <t>VCCIO0</t>
  </si>
  <si>
    <t>PT27B</t>
  </si>
  <si>
    <t>PCLKC0_1</t>
  </si>
  <si>
    <t>Comp_OF_PT27A</t>
  </si>
  <si>
    <t>A11</t>
  </si>
  <si>
    <t>PT29A</t>
  </si>
  <si>
    <t>PCLKT0_0</t>
  </si>
  <si>
    <t>True_OF_PT29B</t>
  </si>
  <si>
    <t>B11</t>
  </si>
  <si>
    <t>VSSIO0</t>
  </si>
  <si>
    <t>PT27A</t>
  </si>
  <si>
    <t>PCLKT0_1</t>
  </si>
  <si>
    <t>True_OF_PT27B</t>
  </si>
  <si>
    <t>A10</t>
  </si>
  <si>
    <t>PT24B</t>
  </si>
  <si>
    <t>GR_PCLK0_0</t>
  </si>
  <si>
    <t>Comp_OF_PT24A</t>
  </si>
  <si>
    <t>B10</t>
  </si>
  <si>
    <t>PT22B</t>
  </si>
  <si>
    <t>Comp_OF_PT22A</t>
  </si>
  <si>
    <t>C10</t>
  </si>
  <si>
    <t>PT24A</t>
  </si>
  <si>
    <t>GR_PCLK0_1</t>
  </si>
  <si>
    <t>True_OF_PT24B</t>
  </si>
  <si>
    <t>A9</t>
  </si>
  <si>
    <t>PT22A</t>
  </si>
  <si>
    <t>True_OF_PT22B</t>
  </si>
  <si>
    <t>B9</t>
  </si>
  <si>
    <t>PT20B</t>
  </si>
  <si>
    <t>Comp_OF_PT20A</t>
  </si>
  <si>
    <t>E9</t>
  </si>
  <si>
    <t>PT18B</t>
  </si>
  <si>
    <t>Comp_OF_PT18A</t>
  </si>
  <si>
    <t>A8</t>
  </si>
  <si>
    <t>PT20A</t>
  </si>
  <si>
    <t>True_OF_PT20B</t>
  </si>
  <si>
    <t>D9</t>
  </si>
  <si>
    <t>PT18A</t>
  </si>
  <si>
    <t>True_OF_PT18B</t>
  </si>
  <si>
    <t>A7</t>
  </si>
  <si>
    <t>PT15B</t>
  </si>
  <si>
    <t>Comp_OF_PT15A</t>
  </si>
  <si>
    <t>B8</t>
  </si>
  <si>
    <t>PT13B</t>
  </si>
  <si>
    <t>Comp_OF_PT13A</t>
  </si>
  <si>
    <t>D8</t>
  </si>
  <si>
    <t>PT15A</t>
  </si>
  <si>
    <t>True_OF_PT15B</t>
  </si>
  <si>
    <t>C8</t>
  </si>
  <si>
    <t>PT13A</t>
  </si>
  <si>
    <t>True_OF_PT13B</t>
  </si>
  <si>
    <t>E8</t>
  </si>
  <si>
    <t>PT11B</t>
  </si>
  <si>
    <t>Comp_OF_PT11A</t>
  </si>
  <si>
    <t>C7</t>
  </si>
  <si>
    <t>PT9B</t>
  </si>
  <si>
    <t>Comp_OF_PT9A</t>
  </si>
  <si>
    <t>D7</t>
  </si>
  <si>
    <t>PT11A</t>
  </si>
  <si>
    <t>True_OF_PT11B</t>
  </si>
  <si>
    <t>C6</t>
  </si>
  <si>
    <t>PT9A</t>
  </si>
  <si>
    <t>True_OF_PT9B</t>
  </si>
  <si>
    <t>E7</t>
  </si>
  <si>
    <t>PT6B</t>
  </si>
  <si>
    <t>Comp_OF_PT6A</t>
  </si>
  <si>
    <t>D6</t>
  </si>
  <si>
    <t>PT4B</t>
  </si>
  <si>
    <t>Comp_OF_PT4A</t>
  </si>
  <si>
    <t>B6</t>
  </si>
  <si>
    <t>PT6A</t>
  </si>
  <si>
    <t>True_OF_PT6B</t>
  </si>
  <si>
    <t>PT4A</t>
  </si>
  <si>
    <t>True_OF_PT4B</t>
  </si>
  <si>
    <t>A6</t>
  </si>
  <si>
    <t>C19</t>
  </si>
  <si>
    <t>H19</t>
  </si>
  <si>
    <t>R19</t>
  </si>
  <si>
    <t>G17</t>
  </si>
  <si>
    <t>M16</t>
  </si>
  <si>
    <t>G15</t>
  </si>
  <si>
    <t>K15</t>
  </si>
  <si>
    <t>N15</t>
  </si>
  <si>
    <t>B14</t>
  </si>
  <si>
    <t>F14</t>
  </si>
  <si>
    <t>G14</t>
  </si>
  <si>
    <t>J14</t>
  </si>
  <si>
    <t>K14</t>
  </si>
  <si>
    <t>M14</t>
  </si>
  <si>
    <t>N14</t>
  </si>
  <si>
    <t>P14</t>
  </si>
  <si>
    <t>F13</t>
  </si>
  <si>
    <t>G13</t>
  </si>
  <si>
    <t>P13</t>
  </si>
  <si>
    <t>G12</t>
  </si>
  <si>
    <t>J12</t>
  </si>
  <si>
    <t>K12</t>
  </si>
  <si>
    <t>L12</t>
  </si>
  <si>
    <t>M12</t>
  </si>
  <si>
    <t>P12</t>
  </si>
  <si>
    <t>G11</t>
  </si>
  <si>
    <t>J11</t>
  </si>
  <si>
    <t>K11</t>
  </si>
  <si>
    <t>L11</t>
  </si>
  <si>
    <t>M11</t>
  </si>
  <si>
    <t>P11</t>
  </si>
  <si>
    <t>G10</t>
  </si>
  <si>
    <t>J10</t>
  </si>
  <si>
    <t>K10</t>
  </si>
  <si>
    <t>L10</t>
  </si>
  <si>
    <t>M10</t>
  </si>
  <si>
    <t>G9</t>
  </si>
  <si>
    <t>J9</t>
  </si>
  <si>
    <t>K9</t>
  </si>
  <si>
    <t>L9</t>
  </si>
  <si>
    <t>M9</t>
  </si>
  <si>
    <t>F8</t>
  </si>
  <si>
    <t>G8</t>
  </si>
  <si>
    <t>P8</t>
  </si>
  <si>
    <t>B7</t>
  </si>
  <si>
    <t>F7</t>
  </si>
  <si>
    <t>G7</t>
  </si>
  <si>
    <t>J7</t>
  </si>
  <si>
    <t>K7</t>
  </si>
  <si>
    <t>M7</t>
  </si>
  <si>
    <t>N7</t>
  </si>
  <si>
    <t>P7</t>
  </si>
  <si>
    <t>G6</t>
  </si>
  <si>
    <t>K6</t>
  </si>
  <si>
    <t>N6</t>
  </si>
  <si>
    <t>D4</t>
  </si>
  <si>
    <t>G4</t>
  </si>
  <si>
    <t>J2</t>
  </si>
  <si>
    <t>M2</t>
  </si>
  <si>
    <t>H13</t>
  </si>
  <si>
    <t>J13</t>
  </si>
  <si>
    <t>K13</t>
  </si>
  <si>
    <t>L13</t>
  </si>
  <si>
    <t>M13</t>
  </si>
  <si>
    <t>N13</t>
  </si>
  <si>
    <t>H12</t>
  </si>
  <si>
    <t>N12</t>
  </si>
  <si>
    <t>H11</t>
  </si>
  <si>
    <t>N11</t>
  </si>
  <si>
    <t>H10</t>
  </si>
  <si>
    <t>N10</t>
  </si>
  <si>
    <t>H9</t>
  </si>
  <si>
    <t>N9</t>
  </si>
  <si>
    <t>H8</t>
  </si>
  <si>
    <t>J8</t>
  </si>
  <si>
    <t>K8</t>
  </si>
  <si>
    <t>L8</t>
  </si>
  <si>
    <t>M8</t>
  </si>
  <si>
    <t>N8</t>
  </si>
  <si>
    <t>F15</t>
  </si>
  <si>
    <t>P15</t>
  </si>
  <si>
    <t>F6</t>
  </si>
  <si>
    <t>P6</t>
  </si>
  <si>
    <t>F10</t>
  </si>
  <si>
    <t>F9</t>
  </si>
  <si>
    <t>F12</t>
  </si>
  <si>
    <t>F11</t>
  </si>
  <si>
    <t>H15</t>
  </si>
  <si>
    <t>J15</t>
  </si>
  <si>
    <t>H14</t>
  </si>
  <si>
    <t>L15</t>
  </si>
  <si>
    <t>M15</t>
  </si>
  <si>
    <t>L14</t>
  </si>
  <si>
    <t>V7</t>
  </si>
  <si>
    <t>V8</t>
  </si>
  <si>
    <t>V9</t>
  </si>
  <si>
    <t>U7</t>
  </si>
  <si>
    <t>U8</t>
  </si>
  <si>
    <t>U9</t>
  </si>
  <si>
    <t>U10</t>
  </si>
  <si>
    <t>V20</t>
  </si>
  <si>
    <t>V5</t>
  </si>
  <si>
    <t>W6</t>
  </si>
  <si>
    <t>V6</t>
  </si>
  <si>
    <t>W7</t>
  </si>
  <si>
    <t>V15</t>
  </si>
  <si>
    <t>W16</t>
  </si>
  <si>
    <t>V16</t>
  </si>
  <si>
    <t>W19</t>
  </si>
  <si>
    <t>V19</t>
  </si>
  <si>
    <t>V14</t>
  </si>
  <si>
    <t>U14</t>
  </si>
  <si>
    <t>W15</t>
  </si>
  <si>
    <t>U13</t>
  </si>
  <si>
    <t>V13</t>
  </si>
  <si>
    <t>U12</t>
  </si>
  <si>
    <t>V12</t>
  </si>
  <si>
    <t>W12</t>
  </si>
  <si>
    <t>U11</t>
  </si>
  <si>
    <t>U6</t>
  </si>
  <si>
    <t>T6</t>
  </si>
  <si>
    <t>V10</t>
  </si>
  <si>
    <t>V11</t>
  </si>
  <si>
    <t>P10</t>
  </si>
  <si>
    <t>P9</t>
  </si>
  <si>
    <t>L7</t>
  </si>
  <si>
    <t>L6</t>
  </si>
  <si>
    <t>M6</t>
  </si>
  <si>
    <t>H7</t>
  </si>
  <si>
    <t>H6</t>
  </si>
  <si>
    <t>J6</t>
  </si>
  <si>
    <t>W20</t>
  </si>
  <si>
    <t>Y19</t>
  </si>
  <si>
    <t>V18</t>
  </si>
  <si>
    <t>W18</t>
  </si>
  <si>
    <t>K17</t>
  </si>
  <si>
    <t>V17</t>
  </si>
  <si>
    <t>W17</t>
  </si>
  <si>
    <t>Y17</t>
  </si>
  <si>
    <t>K16</t>
  </si>
  <si>
    <t>T16</t>
  </si>
  <si>
    <t>Y16</t>
  </si>
  <si>
    <t>A15</t>
  </si>
  <si>
    <t>T15</t>
  </si>
  <si>
    <t>U15</t>
  </si>
  <si>
    <t>Y15</t>
  </si>
  <si>
    <t>T14</t>
  </si>
  <si>
    <t>W14</t>
  </si>
  <si>
    <t>Y14</t>
  </si>
  <si>
    <t>T13</t>
  </si>
  <si>
    <t>W13</t>
  </si>
  <si>
    <t>T12</t>
  </si>
  <si>
    <t>T11</t>
  </si>
  <si>
    <t>D10</t>
  </si>
  <si>
    <t>E10</t>
  </si>
  <si>
    <t>C9</t>
  </si>
  <si>
    <t>M5</t>
  </si>
  <si>
    <t># Pin Out For ECP5U-45</t>
  </si>
  <si>
    <t># Revision 2.0.  Added caBGA256 Package</t>
  </si>
  <si>
    <t># Revised Mar. 19, 2018</t>
  </si>
  <si>
    <t># Revision 3.0.  Added TQFP144 Package</t>
  </si>
  <si>
    <t># Revised Sep 17, 2021</t>
  </si>
  <si>
    <t>ULC_GPLL0T_IN</t>
  </si>
  <si>
    <t>LDQ17</t>
  </si>
  <si>
    <t>ULC_GPLL0C_IN</t>
  </si>
  <si>
    <t>LDQS17</t>
  </si>
  <si>
    <t>LDQSN17</t>
  </si>
  <si>
    <t>LDQ29</t>
  </si>
  <si>
    <t>LDQS29</t>
  </si>
  <si>
    <t>LDQSN29</t>
  </si>
  <si>
    <t>LDQ41</t>
  </si>
  <si>
    <t>LDQS41</t>
  </si>
  <si>
    <t>LDQSN41</t>
  </si>
  <si>
    <t>LDQ53</t>
  </si>
  <si>
    <t>PL50A</t>
  </si>
  <si>
    <t>True_OF_PL50B</t>
  </si>
  <si>
    <t>PL50C</t>
  </si>
  <si>
    <t>True_OF_PL50D</t>
  </si>
  <si>
    <t>PL50B</t>
  </si>
  <si>
    <t>Comp_OF_PL50A</t>
  </si>
  <si>
    <t>PL50D</t>
  </si>
  <si>
    <t>Comp_OF_PL50C</t>
  </si>
  <si>
    <t>PL53A</t>
  </si>
  <si>
    <t>True_OF_PL53B</t>
  </si>
  <si>
    <t>LDQS53</t>
  </si>
  <si>
    <t>PL53C</t>
  </si>
  <si>
    <t>True_OF_PL53D</t>
  </si>
  <si>
    <t>PL53B</t>
  </si>
  <si>
    <t>Comp_OF_PL53A</t>
  </si>
  <si>
    <t>LDQSN53</t>
  </si>
  <si>
    <t>PL53D</t>
  </si>
  <si>
    <t>Comp_OF_PL53C</t>
  </si>
  <si>
    <t>PL56A</t>
  </si>
  <si>
    <t>True_OF_PL56B</t>
  </si>
  <si>
    <t>PL56C</t>
  </si>
  <si>
    <t>True_OF_PL56D</t>
  </si>
  <si>
    <t>PL56B</t>
  </si>
  <si>
    <t>Comp_OF_PL56A</t>
  </si>
  <si>
    <t>PL56D</t>
  </si>
  <si>
    <t>Comp_OF_PL56C</t>
  </si>
  <si>
    <t>PL59A</t>
  </si>
  <si>
    <t>True_OF_PL59B</t>
  </si>
  <si>
    <t>LDQ65</t>
  </si>
  <si>
    <t>PL59C</t>
  </si>
  <si>
    <t>True_OF_PL59D</t>
  </si>
  <si>
    <t>PL59B</t>
  </si>
  <si>
    <t>Comp_OF_PL59A</t>
  </si>
  <si>
    <t>PL59D</t>
  </si>
  <si>
    <t>Comp_OF_PL59C</t>
  </si>
  <si>
    <t>PL62A</t>
  </si>
  <si>
    <t>True_OF_PL62B</t>
  </si>
  <si>
    <t>PL62C</t>
  </si>
  <si>
    <t>True_OF_PL62D</t>
  </si>
  <si>
    <t>PL62B</t>
  </si>
  <si>
    <t>Comp_OF_PL62A</t>
  </si>
  <si>
    <t>PL62D</t>
  </si>
  <si>
    <t>Comp_OF_PL62C</t>
  </si>
  <si>
    <t>PL65A</t>
  </si>
  <si>
    <t>True_OF_PL65B</t>
  </si>
  <si>
    <t>LDQS65</t>
  </si>
  <si>
    <t>PL65C</t>
  </si>
  <si>
    <t>True_OF_PL65D</t>
  </si>
  <si>
    <t>PL65B</t>
  </si>
  <si>
    <t>Comp_OF_PL65A</t>
  </si>
  <si>
    <t>LDQSN65</t>
  </si>
  <si>
    <t>PL65D</t>
  </si>
  <si>
    <t>Comp_OF_PL65C</t>
  </si>
  <si>
    <t>PL68A</t>
  </si>
  <si>
    <t>True_OF_PL68B</t>
  </si>
  <si>
    <t>PL68B</t>
  </si>
  <si>
    <t>Comp_OF_PL68A</t>
  </si>
  <si>
    <t>PL68C</t>
  </si>
  <si>
    <t>True_OF_PL68D</t>
  </si>
  <si>
    <t>PL68D</t>
  </si>
  <si>
    <t>Comp_OF_PL68C</t>
  </si>
  <si>
    <t>PR68D</t>
  </si>
  <si>
    <t>Comp_OF_PR68C</t>
  </si>
  <si>
    <t>RDQ65</t>
  </si>
  <si>
    <t>PR68C</t>
  </si>
  <si>
    <t>True_OF_PR68D</t>
  </si>
  <si>
    <t>PR68B</t>
  </si>
  <si>
    <t>Comp_OF_PR68A</t>
  </si>
  <si>
    <t>PR68A</t>
  </si>
  <si>
    <t>True_OF_PR68B</t>
  </si>
  <si>
    <t>PR65D</t>
  </si>
  <si>
    <t>Comp_OF_PR65C</t>
  </si>
  <si>
    <t>PR65B</t>
  </si>
  <si>
    <t>Comp_OF_PR65A</t>
  </si>
  <si>
    <t>RDQSN65</t>
  </si>
  <si>
    <t>PR65C</t>
  </si>
  <si>
    <t>True_OF_PR65D</t>
  </si>
  <si>
    <t>PR65A</t>
  </si>
  <si>
    <t>True_OF_PR65B</t>
  </si>
  <si>
    <t>RDQS65</t>
  </si>
  <si>
    <t>PR62D</t>
  </si>
  <si>
    <t>Comp_OF_PR62C</t>
  </si>
  <si>
    <t>PR62B</t>
  </si>
  <si>
    <t>Comp_OF_PR62A</t>
  </si>
  <si>
    <t>PR62C</t>
  </si>
  <si>
    <t>True_OF_PR62D</t>
  </si>
  <si>
    <t>PR62A</t>
  </si>
  <si>
    <t>True_OF_PR62B</t>
  </si>
  <si>
    <t>PR59D</t>
  </si>
  <si>
    <t>Comp_OF_PR59C</t>
  </si>
  <si>
    <t>PR59B</t>
  </si>
  <si>
    <t>Comp_OF_PR59A</t>
  </si>
  <si>
    <t>PR59C</t>
  </si>
  <si>
    <t>True_OF_PR59D</t>
  </si>
  <si>
    <t>PR59A</t>
  </si>
  <si>
    <t>True_OF_PR59B</t>
  </si>
  <si>
    <t>PR56D</t>
  </si>
  <si>
    <t>Comp_OF_PR56C</t>
  </si>
  <si>
    <t>RDQ53</t>
  </si>
  <si>
    <t>PR56B</t>
  </si>
  <si>
    <t>Comp_OF_PR56A</t>
  </si>
  <si>
    <t>PR56C</t>
  </si>
  <si>
    <t>True_OF_PR56D</t>
  </si>
  <si>
    <t>PR56A</t>
  </si>
  <si>
    <t>True_OF_PR56B</t>
  </si>
  <si>
    <t>PR53D</t>
  </si>
  <si>
    <t>Comp_OF_PR53C</t>
  </si>
  <si>
    <t>PR53B</t>
  </si>
  <si>
    <t>Comp_OF_PR53A</t>
  </si>
  <si>
    <t>RDQSN53</t>
  </si>
  <si>
    <t>PR53C</t>
  </si>
  <si>
    <t>True_OF_PR53D</t>
  </si>
  <si>
    <t>PR53A</t>
  </si>
  <si>
    <t>True_OF_PR53B</t>
  </si>
  <si>
    <t>RDQS53</t>
  </si>
  <si>
    <t>PR50D</t>
  </si>
  <si>
    <t>Comp_OF_PR50C</t>
  </si>
  <si>
    <t>PR50B</t>
  </si>
  <si>
    <t>Comp_OF_PR50A</t>
  </si>
  <si>
    <t>PR50C</t>
  </si>
  <si>
    <t>True_OF_PR50D</t>
  </si>
  <si>
    <t>PR50A</t>
  </si>
  <si>
    <t>True_OF_PR50B</t>
  </si>
  <si>
    <t>RDQ41</t>
  </si>
  <si>
    <t>RDQSN41</t>
  </si>
  <si>
    <t>RDQS41</t>
  </si>
  <si>
    <t>RDQ29</t>
  </si>
  <si>
    <t>RDQSN29</t>
  </si>
  <si>
    <t>RDQS29</t>
  </si>
  <si>
    <t>RDQ17</t>
  </si>
  <si>
    <t>RDQSN17</t>
  </si>
  <si>
    <t>RDQS17</t>
  </si>
  <si>
    <t>URC_GPLL0C_IN</t>
  </si>
  <si>
    <t>URC_GPLL0T_IN</t>
  </si>
  <si>
    <t>PT85B</t>
  </si>
  <si>
    <t>URC_GPLL1C_IN</t>
  </si>
  <si>
    <t>Comp_OF_PT85A</t>
  </si>
  <si>
    <t>PT83B</t>
  </si>
  <si>
    <t>Comp_OF_PT83A</t>
  </si>
  <si>
    <t>PT85A</t>
  </si>
  <si>
    <t>URC_GPLL1T_IN</t>
  </si>
  <si>
    <t>True_OF_PT85B</t>
  </si>
  <si>
    <t>PT83A</t>
  </si>
  <si>
    <t>True_OF_PT83B</t>
  </si>
  <si>
    <t>PT80B</t>
  </si>
  <si>
    <t>Comp_OF_PT80A</t>
  </si>
  <si>
    <t>PT78B</t>
  </si>
  <si>
    <t>Comp_OF_PT78A</t>
  </si>
  <si>
    <t>PT80A</t>
  </si>
  <si>
    <t>True_OF_PT80B</t>
  </si>
  <si>
    <t>PT78A</t>
  </si>
  <si>
    <t>True_OF_PT78B</t>
  </si>
  <si>
    <t>PT76B</t>
  </si>
  <si>
    <t>Comp_OF_PT76A</t>
  </si>
  <si>
    <t>PT74B</t>
  </si>
  <si>
    <t>Comp_OF_PT74A</t>
  </si>
  <si>
    <t>PT76A</t>
  </si>
  <si>
    <t>True_OF_PT76B</t>
  </si>
  <si>
    <t>PT74A</t>
  </si>
  <si>
    <t>True_OF_PT74B</t>
  </si>
  <si>
    <t>PT71B</t>
  </si>
  <si>
    <t>Comp_OF_PT71A</t>
  </si>
  <si>
    <t>PT69B</t>
  </si>
  <si>
    <t>Comp_OF_PT69A</t>
  </si>
  <si>
    <t>PT71A</t>
  </si>
  <si>
    <t>True_OF_PT71B</t>
  </si>
  <si>
    <t>PT69A</t>
  </si>
  <si>
    <t>True_OF_PT69B</t>
  </si>
  <si>
    <t>PT36B</t>
  </si>
  <si>
    <t>Comp_OF_PT36A</t>
  </si>
  <si>
    <t>PT36A</t>
  </si>
  <si>
    <t>True_OF_PT36B</t>
  </si>
  <si>
    <t>PT31B</t>
  </si>
  <si>
    <t>Comp_OF_PT31A</t>
  </si>
  <si>
    <t>PT31A</t>
  </si>
  <si>
    <t>True_OF_PT31B</t>
  </si>
  <si>
    <t>ULC_GPLL1C_IN</t>
  </si>
  <si>
    <t>ULC_GPLL1T_IN</t>
  </si>
  <si>
    <t>Clocks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</si>
</sst>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5E7A-08C8-4DDF-A827-0815EF59A873}">
  <dimension ref="A1:K103"/>
  <sheetViews>
    <sheetView workbookViewId="0">
      <selection activeCell="H47" sqref="H47"/>
    </sheetView>
  </sheetViews>
  <sheetFormatPr defaultColWidth="20.140625" defaultRowHeight="15" x14ac:dyDescent="0.25"/>
  <cols>
    <col min="1" max="1" width="8.7109375" bestFit="1" customWidth="1"/>
    <col min="2" max="2" width="7.85546875" bestFit="1" customWidth="1"/>
    <col min="3" max="6" width="7.85546875" customWidth="1"/>
    <col min="7" max="7" width="7.42578125" bestFit="1" customWidth="1"/>
    <col min="8" max="8" width="8.7109375" bestFit="1" customWidth="1"/>
    <col min="9" max="9" width="9.140625" customWidth="1"/>
    <col min="11" max="11" width="8.5703125" customWidth="1"/>
    <col min="12" max="12" width="5.5703125" customWidth="1"/>
  </cols>
  <sheetData>
    <row r="1" spans="1:11" x14ac:dyDescent="0.25">
      <c r="A1" t="s">
        <v>0</v>
      </c>
      <c r="B1" t="s">
        <v>1</v>
      </c>
      <c r="C1" t="s">
        <v>131</v>
      </c>
      <c r="D1" t="s">
        <v>2</v>
      </c>
      <c r="E1" t="s">
        <v>2</v>
      </c>
      <c r="F1" t="s">
        <v>131</v>
      </c>
      <c r="G1" t="s">
        <v>3</v>
      </c>
      <c r="H1" t="s">
        <v>0</v>
      </c>
      <c r="K1" t="s">
        <v>1114</v>
      </c>
    </row>
    <row r="2" spans="1:11" x14ac:dyDescent="0.25">
      <c r="A2" t="s">
        <v>4</v>
      </c>
      <c r="B2">
        <v>1</v>
      </c>
      <c r="C2" t="str">
        <f>_xlfn.XLOOKUP(B2,'FPGA-SC-02033-2-0-ECP5U-25-Pino'!I:I,'FPGA-SC-02033-2-0-ECP5U-25-Pino'!C:C,"")</f>
        <v/>
      </c>
      <c r="D2">
        <f>COUNTIF(K:K,A2)</f>
        <v>0</v>
      </c>
      <c r="E2">
        <f>COUNTIF(K:K,H2)</f>
        <v>0</v>
      </c>
      <c r="F2" t="str">
        <f>_xlfn.XLOOKUP(G2,'FPGA-SC-02033-2-0-ECP5U-25-Pino'!I:I,'FPGA-SC-02033-2-0-ECP5U-25-Pino'!C:C,"")</f>
        <v/>
      </c>
      <c r="G2">
        <v>2</v>
      </c>
      <c r="H2" t="s">
        <v>5</v>
      </c>
      <c r="I2">
        <f>D2+E2</f>
        <v>0</v>
      </c>
      <c r="K2" t="s">
        <v>6</v>
      </c>
    </row>
    <row r="3" spans="1:11" x14ac:dyDescent="0.25">
      <c r="A3" t="s">
        <v>4</v>
      </c>
      <c r="B3">
        <v>3</v>
      </c>
      <c r="C3" t="str">
        <f>_xlfn.XLOOKUP(B3,'FPGA-SC-02033-2-0-ECP5U-25-Pino'!I:I,'FPGA-SC-02033-2-0-ECP5U-25-Pino'!C:C,"")</f>
        <v/>
      </c>
      <c r="D3">
        <f t="shared" ref="D3:D21" si="0">COUNTIF(K:K,A3)</f>
        <v>0</v>
      </c>
      <c r="E3">
        <f t="shared" ref="E3:E21" si="1">COUNTIF(K:K,H3)</f>
        <v>0</v>
      </c>
      <c r="F3" t="str">
        <f>_xlfn.XLOOKUP(G3,'FPGA-SC-02033-2-0-ECP5U-25-Pino'!I:I,'FPGA-SC-02033-2-0-ECP5U-25-Pino'!C:C,"")</f>
        <v/>
      </c>
      <c r="G3">
        <v>4</v>
      </c>
      <c r="H3" t="s">
        <v>5</v>
      </c>
      <c r="I3">
        <f t="shared" ref="I3:I66" si="2">D3+E3</f>
        <v>0</v>
      </c>
      <c r="K3" t="s">
        <v>113</v>
      </c>
    </row>
    <row r="4" spans="1:11" x14ac:dyDescent="0.25">
      <c r="A4" t="s">
        <v>4</v>
      </c>
      <c r="B4">
        <v>5</v>
      </c>
      <c r="C4" t="str">
        <f>_xlfn.XLOOKUP(B4,'FPGA-SC-02033-2-0-ECP5U-25-Pino'!I:I,'FPGA-SC-02033-2-0-ECP5U-25-Pino'!C:C,"")</f>
        <v/>
      </c>
      <c r="D4">
        <f t="shared" si="0"/>
        <v>0</v>
      </c>
      <c r="E4">
        <f t="shared" si="1"/>
        <v>0</v>
      </c>
      <c r="F4" t="str">
        <f>_xlfn.XLOOKUP(G4,'FPGA-SC-02033-2-0-ECP5U-25-Pino'!I:I,'FPGA-SC-02033-2-0-ECP5U-25-Pino'!C:C,"")</f>
        <v/>
      </c>
      <c r="G4">
        <v>6</v>
      </c>
      <c r="H4" t="s">
        <v>5</v>
      </c>
      <c r="I4">
        <f t="shared" si="2"/>
        <v>0</v>
      </c>
      <c r="K4" t="s">
        <v>7</v>
      </c>
    </row>
    <row r="5" spans="1:11" x14ac:dyDescent="0.25">
      <c r="A5" t="s">
        <v>4</v>
      </c>
      <c r="B5">
        <v>7</v>
      </c>
      <c r="C5" t="str">
        <f>_xlfn.XLOOKUP(B5,'FPGA-SC-02033-2-0-ECP5U-25-Pino'!I:I,'FPGA-SC-02033-2-0-ECP5U-25-Pino'!C:C,"")</f>
        <v/>
      </c>
      <c r="D5">
        <f t="shared" si="0"/>
        <v>0</v>
      </c>
      <c r="E5">
        <f t="shared" si="1"/>
        <v>0</v>
      </c>
      <c r="F5" t="str">
        <f>_xlfn.XLOOKUP(G5,'FPGA-SC-02033-2-0-ECP5U-25-Pino'!I:I,'FPGA-SC-02033-2-0-ECP5U-25-Pino'!C:C,"")</f>
        <v/>
      </c>
      <c r="G5">
        <v>8</v>
      </c>
      <c r="H5" t="s">
        <v>5</v>
      </c>
      <c r="I5">
        <f t="shared" si="2"/>
        <v>0</v>
      </c>
      <c r="K5" t="s">
        <v>127</v>
      </c>
    </row>
    <row r="6" spans="1:11" x14ac:dyDescent="0.25">
      <c r="A6" t="s">
        <v>4</v>
      </c>
      <c r="B6">
        <v>9</v>
      </c>
      <c r="C6" t="str">
        <f>_xlfn.XLOOKUP(B6,'FPGA-SC-02033-2-0-ECP5U-25-Pino'!I:I,'FPGA-SC-02033-2-0-ECP5U-25-Pino'!C:C,"")</f>
        <v/>
      </c>
      <c r="D6">
        <f t="shared" si="0"/>
        <v>0</v>
      </c>
      <c r="E6">
        <f t="shared" si="1"/>
        <v>0</v>
      </c>
      <c r="F6" t="str">
        <f>_xlfn.XLOOKUP(G6,'FPGA-SC-02033-2-0-ECP5U-25-Pino'!I:I,'FPGA-SC-02033-2-0-ECP5U-25-Pino'!C:C,"")</f>
        <v/>
      </c>
      <c r="G6">
        <v>10</v>
      </c>
      <c r="H6" t="s">
        <v>5</v>
      </c>
      <c r="I6">
        <f t="shared" si="2"/>
        <v>0</v>
      </c>
      <c r="K6" t="s">
        <v>8</v>
      </c>
    </row>
    <row r="7" spans="1:11" x14ac:dyDescent="0.25">
      <c r="A7" t="s">
        <v>4</v>
      </c>
      <c r="B7">
        <v>11</v>
      </c>
      <c r="C7" t="str">
        <f>_xlfn.XLOOKUP(B7,'FPGA-SC-02033-2-0-ECP5U-25-Pino'!I:I,'FPGA-SC-02033-2-0-ECP5U-25-Pino'!C:C,"")</f>
        <v/>
      </c>
      <c r="D7">
        <f t="shared" si="0"/>
        <v>0</v>
      </c>
      <c r="E7">
        <f t="shared" si="1"/>
        <v>0</v>
      </c>
      <c r="F7" t="str">
        <f>_xlfn.XLOOKUP(G7,'FPGA-SC-02033-2-0-ECP5U-25-Pino'!I:I,'FPGA-SC-02033-2-0-ECP5U-25-Pino'!C:C,"")</f>
        <v/>
      </c>
      <c r="G7">
        <v>12</v>
      </c>
      <c r="H7" t="s">
        <v>5</v>
      </c>
      <c r="I7">
        <f t="shared" si="2"/>
        <v>0</v>
      </c>
      <c r="K7" t="s">
        <v>123</v>
      </c>
    </row>
    <row r="8" spans="1:11" x14ac:dyDescent="0.25">
      <c r="A8" t="s">
        <v>12</v>
      </c>
      <c r="B8">
        <v>13</v>
      </c>
      <c r="C8" t="str">
        <f>_xlfn.XLOOKUP(B8,'FPGA-SC-02033-2-0-ECP5U-25-Pino'!I:I,'FPGA-SC-02033-2-0-ECP5U-25-Pino'!C:C,"")</f>
        <v/>
      </c>
      <c r="D8">
        <f t="shared" si="0"/>
        <v>0</v>
      </c>
      <c r="E8">
        <f t="shared" si="1"/>
        <v>0</v>
      </c>
      <c r="F8" t="str">
        <f>_xlfn.XLOOKUP(G8,'FPGA-SC-02033-2-0-ECP5U-25-Pino'!I:I,'FPGA-SC-02033-2-0-ECP5U-25-Pino'!C:C,"")</f>
        <v/>
      </c>
      <c r="G8">
        <v>14</v>
      </c>
      <c r="H8" t="s">
        <v>12</v>
      </c>
      <c r="I8">
        <f t="shared" si="2"/>
        <v>0</v>
      </c>
      <c r="K8" t="s">
        <v>9</v>
      </c>
    </row>
    <row r="9" spans="1:11" x14ac:dyDescent="0.25">
      <c r="A9" t="s">
        <v>14</v>
      </c>
      <c r="B9">
        <v>15</v>
      </c>
      <c r="C9" t="str">
        <f>_xlfn.XLOOKUP(B9,'FPGA-SC-02033-2-0-ECP5U-25-Pino'!I:I,'FPGA-SC-02033-2-0-ECP5U-25-Pino'!C:C,"")</f>
        <v/>
      </c>
      <c r="D9">
        <f t="shared" si="0"/>
        <v>0</v>
      </c>
      <c r="E9">
        <f t="shared" si="1"/>
        <v>0</v>
      </c>
      <c r="F9" t="str">
        <f>_xlfn.XLOOKUP(G9,'FPGA-SC-02033-2-0-ECP5U-25-Pino'!I:I,'FPGA-SC-02033-2-0-ECP5U-25-Pino'!C:C,"")</f>
        <v/>
      </c>
      <c r="G9">
        <v>16</v>
      </c>
      <c r="H9" t="s">
        <v>15</v>
      </c>
      <c r="I9">
        <f t="shared" si="2"/>
        <v>0</v>
      </c>
      <c r="K9" t="s">
        <v>10</v>
      </c>
    </row>
    <row r="10" spans="1:11" x14ac:dyDescent="0.25">
      <c r="A10" t="s">
        <v>17</v>
      </c>
      <c r="B10">
        <v>17</v>
      </c>
      <c r="C10" t="str">
        <f>_xlfn.XLOOKUP(B10,'FPGA-SC-02033-2-0-ECP5U-25-Pino'!I:I,'FPGA-SC-02033-2-0-ECP5U-25-Pino'!C:C,"")</f>
        <v/>
      </c>
      <c r="D10">
        <f t="shared" si="0"/>
        <v>0</v>
      </c>
      <c r="E10">
        <f t="shared" si="1"/>
        <v>0</v>
      </c>
      <c r="F10" t="str">
        <f>_xlfn.XLOOKUP(G10,'FPGA-SC-02033-2-0-ECP5U-25-Pino'!I:I,'FPGA-SC-02033-2-0-ECP5U-25-Pino'!C:C,"")</f>
        <v/>
      </c>
      <c r="G10">
        <v>18</v>
      </c>
      <c r="H10" t="s">
        <v>18</v>
      </c>
      <c r="I10">
        <f t="shared" si="2"/>
        <v>0</v>
      </c>
      <c r="K10" t="s">
        <v>67</v>
      </c>
    </row>
    <row r="11" spans="1:11" x14ac:dyDescent="0.25">
      <c r="A11" t="s">
        <v>12</v>
      </c>
      <c r="B11">
        <v>19</v>
      </c>
      <c r="C11" t="str">
        <f>_xlfn.XLOOKUP(B11,'FPGA-SC-02033-2-0-ECP5U-25-Pino'!I:I,'FPGA-SC-02033-2-0-ECP5U-25-Pino'!C:C,"")</f>
        <v/>
      </c>
      <c r="D11">
        <f t="shared" si="0"/>
        <v>0</v>
      </c>
      <c r="E11">
        <f t="shared" si="1"/>
        <v>0</v>
      </c>
      <c r="F11" t="str">
        <f>_xlfn.XLOOKUP(G11,'FPGA-SC-02033-2-0-ECP5U-25-Pino'!I:I,'FPGA-SC-02033-2-0-ECP5U-25-Pino'!C:C,"")</f>
        <v/>
      </c>
      <c r="G11">
        <v>20</v>
      </c>
      <c r="H11" t="s">
        <v>12</v>
      </c>
      <c r="I11">
        <f t="shared" si="2"/>
        <v>0</v>
      </c>
      <c r="K11" t="s">
        <v>11</v>
      </c>
    </row>
    <row r="12" spans="1:11" x14ac:dyDescent="0.25">
      <c r="A12" t="s">
        <v>20</v>
      </c>
      <c r="B12">
        <v>21</v>
      </c>
      <c r="C12" t="str">
        <f>_xlfn.XLOOKUP(B12,'FPGA-SC-02033-2-0-ECP5U-25-Pino'!I:I,'FPGA-SC-02033-2-0-ECP5U-25-Pino'!C:C,"")</f>
        <v/>
      </c>
      <c r="D12">
        <f t="shared" si="0"/>
        <v>0</v>
      </c>
      <c r="E12">
        <f t="shared" si="1"/>
        <v>0</v>
      </c>
      <c r="F12" t="str">
        <f>_xlfn.XLOOKUP(G12,'FPGA-SC-02033-2-0-ECP5U-25-Pino'!I:I,'FPGA-SC-02033-2-0-ECP5U-25-Pino'!C:C,"")</f>
        <v/>
      </c>
      <c r="G12">
        <v>22</v>
      </c>
      <c r="H12" t="s">
        <v>21</v>
      </c>
      <c r="I12">
        <f t="shared" si="2"/>
        <v>0</v>
      </c>
      <c r="K12" t="s">
        <v>69</v>
      </c>
    </row>
    <row r="13" spans="1:11" x14ac:dyDescent="0.25">
      <c r="A13" t="s">
        <v>22</v>
      </c>
      <c r="B13">
        <v>23</v>
      </c>
      <c r="C13" t="str">
        <f>_xlfn.XLOOKUP(B13,'FPGA-SC-02033-2-0-ECP5U-25-Pino'!I:I,'FPGA-SC-02033-2-0-ECP5U-25-Pino'!C:C,"")</f>
        <v/>
      </c>
      <c r="D13">
        <f t="shared" si="0"/>
        <v>0</v>
      </c>
      <c r="E13">
        <f t="shared" si="1"/>
        <v>0</v>
      </c>
      <c r="F13" t="str">
        <f>_xlfn.XLOOKUP(G13,'FPGA-SC-02033-2-0-ECP5U-25-Pino'!I:I,'FPGA-SC-02033-2-0-ECP5U-25-Pino'!C:C,"")</f>
        <v/>
      </c>
      <c r="G13">
        <v>24</v>
      </c>
      <c r="H13" t="s">
        <v>23</v>
      </c>
      <c r="I13">
        <f t="shared" si="2"/>
        <v>0</v>
      </c>
      <c r="K13" t="s">
        <v>13</v>
      </c>
    </row>
    <row r="14" spans="1:11" x14ac:dyDescent="0.25">
      <c r="A14" t="s">
        <v>12</v>
      </c>
      <c r="B14">
        <v>25</v>
      </c>
      <c r="C14" t="str">
        <f>_xlfn.XLOOKUP(B14,'FPGA-SC-02033-2-0-ECP5U-25-Pino'!I:I,'FPGA-SC-02033-2-0-ECP5U-25-Pino'!C:C,"")</f>
        <v/>
      </c>
      <c r="D14">
        <f t="shared" si="0"/>
        <v>0</v>
      </c>
      <c r="E14">
        <f t="shared" si="1"/>
        <v>0</v>
      </c>
      <c r="F14" t="str">
        <f>_xlfn.XLOOKUP(G14,'FPGA-SC-02033-2-0-ECP5U-25-Pino'!I:I,'FPGA-SC-02033-2-0-ECP5U-25-Pino'!C:C,"")</f>
        <v/>
      </c>
      <c r="G14">
        <v>26</v>
      </c>
      <c r="H14" t="s">
        <v>12</v>
      </c>
      <c r="I14">
        <f t="shared" si="2"/>
        <v>0</v>
      </c>
      <c r="K14" t="s">
        <v>72</v>
      </c>
    </row>
    <row r="15" spans="1:11" x14ac:dyDescent="0.25">
      <c r="A15" t="s">
        <v>24</v>
      </c>
      <c r="B15">
        <v>27</v>
      </c>
      <c r="C15" t="str">
        <f>_xlfn.XLOOKUP(B15,'FPGA-SC-02033-2-0-ECP5U-25-Pino'!I:I,'FPGA-SC-02033-2-0-ECP5U-25-Pino'!C:C,"")</f>
        <v/>
      </c>
      <c r="D15">
        <f t="shared" si="0"/>
        <v>0</v>
      </c>
      <c r="E15">
        <f t="shared" si="1"/>
        <v>0</v>
      </c>
      <c r="F15" t="str">
        <f>_xlfn.XLOOKUP(G15,'FPGA-SC-02033-2-0-ECP5U-25-Pino'!I:I,'FPGA-SC-02033-2-0-ECP5U-25-Pino'!C:C,"")</f>
        <v/>
      </c>
      <c r="G15">
        <v>28</v>
      </c>
      <c r="H15" t="s">
        <v>25</v>
      </c>
      <c r="I15">
        <f t="shared" si="2"/>
        <v>0</v>
      </c>
      <c r="K15" t="s">
        <v>16</v>
      </c>
    </row>
    <row r="16" spans="1:11" x14ac:dyDescent="0.25">
      <c r="A16" t="s">
        <v>26</v>
      </c>
      <c r="B16">
        <v>29</v>
      </c>
      <c r="C16" t="str">
        <f>_xlfn.XLOOKUP(B16,'FPGA-SC-02033-2-0-ECP5U-25-Pino'!I:I,'FPGA-SC-02033-2-0-ECP5U-25-Pino'!C:C,"")</f>
        <v/>
      </c>
      <c r="D16">
        <f t="shared" si="0"/>
        <v>0</v>
      </c>
      <c r="E16">
        <f t="shared" si="1"/>
        <v>0</v>
      </c>
      <c r="F16" t="str">
        <f>_xlfn.XLOOKUP(G16,'FPGA-SC-02033-2-0-ECP5U-25-Pino'!I:I,'FPGA-SC-02033-2-0-ECP5U-25-Pino'!C:C,"")</f>
        <v/>
      </c>
      <c r="G16">
        <v>30</v>
      </c>
      <c r="H16" t="s">
        <v>27</v>
      </c>
      <c r="I16">
        <f t="shared" si="2"/>
        <v>0</v>
      </c>
      <c r="K16" t="s">
        <v>66</v>
      </c>
    </row>
    <row r="17" spans="1:11" x14ac:dyDescent="0.25">
      <c r="A17" t="s">
        <v>12</v>
      </c>
      <c r="B17">
        <v>31</v>
      </c>
      <c r="C17" t="str">
        <f>_xlfn.XLOOKUP(B17,'FPGA-SC-02033-2-0-ECP5U-25-Pino'!I:I,'FPGA-SC-02033-2-0-ECP5U-25-Pino'!C:C,"")</f>
        <v/>
      </c>
      <c r="D17">
        <f t="shared" si="0"/>
        <v>0</v>
      </c>
      <c r="E17">
        <f t="shared" si="1"/>
        <v>0</v>
      </c>
      <c r="F17" t="str">
        <f>_xlfn.XLOOKUP(G17,'FPGA-SC-02033-2-0-ECP5U-25-Pino'!I:I,'FPGA-SC-02033-2-0-ECP5U-25-Pino'!C:C,"")</f>
        <v/>
      </c>
      <c r="G17">
        <v>32</v>
      </c>
      <c r="H17" t="s">
        <v>12</v>
      </c>
      <c r="I17">
        <f t="shared" si="2"/>
        <v>0</v>
      </c>
      <c r="K17" t="s">
        <v>19</v>
      </c>
    </row>
    <row r="18" spans="1:11" x14ac:dyDescent="0.25">
      <c r="A18" t="s">
        <v>28</v>
      </c>
      <c r="B18">
        <v>33</v>
      </c>
      <c r="C18" t="str">
        <f>_xlfn.XLOOKUP(B18,'FPGA-SC-02033-2-0-ECP5U-25-Pino'!I:I,'FPGA-SC-02033-2-0-ECP5U-25-Pino'!C:C,"")</f>
        <v/>
      </c>
      <c r="D18">
        <f t="shared" si="0"/>
        <v>0</v>
      </c>
      <c r="E18">
        <f t="shared" si="1"/>
        <v>0</v>
      </c>
      <c r="F18" t="str">
        <f>_xlfn.XLOOKUP(G18,'FPGA-SC-02033-2-0-ECP5U-25-Pino'!I:I,'FPGA-SC-02033-2-0-ECP5U-25-Pino'!C:C,"")</f>
        <v/>
      </c>
      <c r="G18">
        <v>34</v>
      </c>
      <c r="H18" t="s">
        <v>29</v>
      </c>
      <c r="I18">
        <f t="shared" si="2"/>
        <v>0</v>
      </c>
    </row>
    <row r="19" spans="1:11" x14ac:dyDescent="0.25">
      <c r="A19" t="s">
        <v>30</v>
      </c>
      <c r="B19">
        <v>35</v>
      </c>
      <c r="C19" t="str">
        <f>_xlfn.XLOOKUP(B19,'FPGA-SC-02033-2-0-ECP5U-25-Pino'!I:I,'FPGA-SC-02033-2-0-ECP5U-25-Pino'!C:C,"")</f>
        <v/>
      </c>
      <c r="D19">
        <f t="shared" si="0"/>
        <v>0</v>
      </c>
      <c r="E19">
        <f t="shared" si="1"/>
        <v>0</v>
      </c>
      <c r="F19" t="str">
        <f>_xlfn.XLOOKUP(G19,'FPGA-SC-02033-2-0-ECP5U-25-Pino'!I:I,'FPGA-SC-02033-2-0-ECP5U-25-Pino'!C:C,"")</f>
        <v/>
      </c>
      <c r="G19">
        <v>36</v>
      </c>
      <c r="H19" t="s">
        <v>31</v>
      </c>
      <c r="I19">
        <f t="shared" si="2"/>
        <v>0</v>
      </c>
    </row>
    <row r="20" spans="1:11" x14ac:dyDescent="0.25">
      <c r="A20" t="s">
        <v>12</v>
      </c>
      <c r="B20">
        <v>37</v>
      </c>
      <c r="C20" t="str">
        <f>_xlfn.XLOOKUP(B20,'FPGA-SC-02033-2-0-ECP5U-25-Pino'!I:I,'FPGA-SC-02033-2-0-ECP5U-25-Pino'!C:C,"")</f>
        <v/>
      </c>
      <c r="D20">
        <f t="shared" si="0"/>
        <v>0</v>
      </c>
      <c r="E20">
        <f t="shared" si="1"/>
        <v>0</v>
      </c>
      <c r="F20" t="str">
        <f>_xlfn.XLOOKUP(G20,'FPGA-SC-02033-2-0-ECP5U-25-Pino'!I:I,'FPGA-SC-02033-2-0-ECP5U-25-Pino'!C:C,"")</f>
        <v/>
      </c>
      <c r="G20">
        <v>38</v>
      </c>
      <c r="H20" t="s">
        <v>12</v>
      </c>
      <c r="I20">
        <f t="shared" si="2"/>
        <v>0</v>
      </c>
    </row>
    <row r="21" spans="1:11" x14ac:dyDescent="0.25">
      <c r="A21" t="s">
        <v>4</v>
      </c>
      <c r="B21">
        <v>39</v>
      </c>
      <c r="C21" t="str">
        <f>_xlfn.XLOOKUP(B21,'FPGA-SC-02033-2-0-ECP5U-25-Pino'!I:I,'FPGA-SC-02033-2-0-ECP5U-25-Pino'!C:C,"")</f>
        <v/>
      </c>
      <c r="D21">
        <f t="shared" si="0"/>
        <v>0</v>
      </c>
      <c r="E21">
        <f t="shared" si="1"/>
        <v>0</v>
      </c>
      <c r="F21" t="str">
        <f>_xlfn.XLOOKUP(G21,'FPGA-SC-02033-2-0-ECP5U-25-Pino'!I:I,'FPGA-SC-02033-2-0-ECP5U-25-Pino'!C:C,"")</f>
        <v/>
      </c>
      <c r="G21">
        <v>40</v>
      </c>
      <c r="H21" t="s">
        <v>4</v>
      </c>
      <c r="I21">
        <f t="shared" si="2"/>
        <v>0</v>
      </c>
    </row>
    <row r="22" spans="1:11" x14ac:dyDescent="0.25">
      <c r="I22">
        <f t="shared" si="2"/>
        <v>0</v>
      </c>
    </row>
    <row r="23" spans="1:11" x14ac:dyDescent="0.25">
      <c r="I23">
        <f t="shared" si="2"/>
        <v>0</v>
      </c>
    </row>
    <row r="24" spans="1:11" x14ac:dyDescent="0.25">
      <c r="A24" t="s">
        <v>32</v>
      </c>
      <c r="B24">
        <v>41</v>
      </c>
      <c r="C24">
        <f>_xlfn.XLOOKUP(B24,'FPGA-SC-02033-2-0-ECP5U-25-Pino'!I:I,'FPGA-SC-02033-2-0-ECP5U-25-Pino'!C:C,"")</f>
        <v>3</v>
      </c>
      <c r="D24">
        <f t="shared" ref="D24" si="3">COUNTIF(K:K,A24)</f>
        <v>0</v>
      </c>
      <c r="E24">
        <f t="shared" ref="E24" si="4">COUNTIF(K:K,H24)</f>
        <v>0</v>
      </c>
      <c r="F24">
        <f>_xlfn.XLOOKUP(G24,'FPGA-SC-02033-2-0-ECP5U-25-Pino'!I:I,'FPGA-SC-02033-2-0-ECP5U-25-Pino'!C:C,"")</f>
        <v>8</v>
      </c>
      <c r="G24">
        <v>42</v>
      </c>
      <c r="H24" t="s">
        <v>33</v>
      </c>
      <c r="I24">
        <f t="shared" si="2"/>
        <v>0</v>
      </c>
    </row>
    <row r="25" spans="1:11" x14ac:dyDescent="0.25">
      <c r="A25" t="s">
        <v>12</v>
      </c>
      <c r="B25">
        <v>43</v>
      </c>
      <c r="C25" t="str">
        <f>_xlfn.XLOOKUP(B25,'FPGA-SC-02033-2-0-ECP5U-25-Pino'!I:I,'FPGA-SC-02033-2-0-ECP5U-25-Pino'!C:C,"")</f>
        <v/>
      </c>
      <c r="D25">
        <f t="shared" ref="D25:D88" si="5">COUNTIF(K:K,A25)</f>
        <v>0</v>
      </c>
      <c r="E25">
        <f t="shared" ref="E25:E88" si="6">COUNTIF(K:K,H25)</f>
        <v>0</v>
      </c>
      <c r="F25">
        <f>_xlfn.XLOOKUP(G25,'FPGA-SC-02033-2-0-ECP5U-25-Pino'!I:I,'FPGA-SC-02033-2-0-ECP5U-25-Pino'!C:C,"")</f>
        <v>8</v>
      </c>
      <c r="G25">
        <v>44</v>
      </c>
      <c r="H25" t="s">
        <v>34</v>
      </c>
      <c r="I25">
        <f t="shared" si="2"/>
        <v>0</v>
      </c>
    </row>
    <row r="26" spans="1:11" x14ac:dyDescent="0.25">
      <c r="A26" t="s">
        <v>12</v>
      </c>
      <c r="B26">
        <v>45</v>
      </c>
      <c r="C26" t="str">
        <f>_xlfn.XLOOKUP(B26,'FPGA-SC-02033-2-0-ECP5U-25-Pino'!I:I,'FPGA-SC-02033-2-0-ECP5U-25-Pino'!C:C,"")</f>
        <v/>
      </c>
      <c r="D26">
        <f t="shared" si="5"/>
        <v>0</v>
      </c>
      <c r="E26">
        <f t="shared" si="6"/>
        <v>0</v>
      </c>
      <c r="F26">
        <f>_xlfn.XLOOKUP(G26,'FPGA-SC-02033-2-0-ECP5U-25-Pino'!I:I,'FPGA-SC-02033-2-0-ECP5U-25-Pino'!C:C,"")</f>
        <v>8</v>
      </c>
      <c r="G26">
        <v>46</v>
      </c>
      <c r="H26" t="s">
        <v>35</v>
      </c>
      <c r="I26">
        <f t="shared" si="2"/>
        <v>0</v>
      </c>
    </row>
    <row r="27" spans="1:11" x14ac:dyDescent="0.25">
      <c r="A27" t="s">
        <v>12</v>
      </c>
      <c r="B27">
        <v>47</v>
      </c>
      <c r="C27" t="str">
        <f>_xlfn.XLOOKUP(B27,'FPGA-SC-02033-2-0-ECP5U-25-Pino'!I:I,'FPGA-SC-02033-2-0-ECP5U-25-Pino'!C:C,"")</f>
        <v/>
      </c>
      <c r="D27">
        <f t="shared" si="5"/>
        <v>0</v>
      </c>
      <c r="E27">
        <f t="shared" si="6"/>
        <v>0</v>
      </c>
      <c r="F27">
        <f>_xlfn.XLOOKUP(G27,'FPGA-SC-02033-2-0-ECP5U-25-Pino'!I:I,'FPGA-SC-02033-2-0-ECP5U-25-Pino'!C:C,"")</f>
        <v>8</v>
      </c>
      <c r="G27">
        <v>48</v>
      </c>
      <c r="H27" t="s">
        <v>36</v>
      </c>
      <c r="I27">
        <f t="shared" si="2"/>
        <v>0</v>
      </c>
    </row>
    <row r="28" spans="1:11" x14ac:dyDescent="0.25">
      <c r="A28" t="s">
        <v>37</v>
      </c>
      <c r="B28">
        <v>49</v>
      </c>
      <c r="C28">
        <f>_xlfn.XLOOKUP(B28,'FPGA-SC-02033-2-0-ECP5U-25-Pino'!I:I,'FPGA-SC-02033-2-0-ECP5U-25-Pino'!C:C,"")</f>
        <v>2</v>
      </c>
      <c r="D28">
        <f t="shared" si="5"/>
        <v>0</v>
      </c>
      <c r="E28">
        <f t="shared" si="6"/>
        <v>0</v>
      </c>
      <c r="F28">
        <f>_xlfn.XLOOKUP(G28,'FPGA-SC-02033-2-0-ECP5U-25-Pino'!I:I,'FPGA-SC-02033-2-0-ECP5U-25-Pino'!C:C,"")</f>
        <v>8</v>
      </c>
      <c r="G28">
        <v>50</v>
      </c>
      <c r="H28" t="s">
        <v>38</v>
      </c>
      <c r="I28">
        <f t="shared" si="2"/>
        <v>0</v>
      </c>
    </row>
    <row r="29" spans="1:11" x14ac:dyDescent="0.25">
      <c r="A29" t="s">
        <v>39</v>
      </c>
      <c r="B29">
        <v>51</v>
      </c>
      <c r="C29">
        <f>_xlfn.XLOOKUP(B29,'FPGA-SC-02033-2-0-ECP5U-25-Pino'!I:I,'FPGA-SC-02033-2-0-ECP5U-25-Pino'!C:C,"")</f>
        <v>2</v>
      </c>
      <c r="D29">
        <f t="shared" si="5"/>
        <v>0</v>
      </c>
      <c r="E29">
        <f t="shared" si="6"/>
        <v>0</v>
      </c>
      <c r="F29">
        <f>_xlfn.XLOOKUP(G29,'FPGA-SC-02033-2-0-ECP5U-25-Pino'!I:I,'FPGA-SC-02033-2-0-ECP5U-25-Pino'!C:C,"")</f>
        <v>8</v>
      </c>
      <c r="G29">
        <v>52</v>
      </c>
      <c r="H29" t="s">
        <v>40</v>
      </c>
      <c r="I29">
        <f t="shared" si="2"/>
        <v>0</v>
      </c>
    </row>
    <row r="30" spans="1:11" x14ac:dyDescent="0.25">
      <c r="A30" t="s">
        <v>12</v>
      </c>
      <c r="B30">
        <v>53</v>
      </c>
      <c r="C30" t="str">
        <f>_xlfn.XLOOKUP(B30,'FPGA-SC-02033-2-0-ECP5U-25-Pino'!I:I,'FPGA-SC-02033-2-0-ECP5U-25-Pino'!C:C,"")</f>
        <v/>
      </c>
      <c r="D30">
        <f t="shared" si="5"/>
        <v>0</v>
      </c>
      <c r="E30">
        <f t="shared" si="6"/>
        <v>0</v>
      </c>
      <c r="F30">
        <f>_xlfn.XLOOKUP(G30,'FPGA-SC-02033-2-0-ECP5U-25-Pino'!I:I,'FPGA-SC-02033-2-0-ECP5U-25-Pino'!C:C,"")</f>
        <v>6</v>
      </c>
      <c r="G30">
        <v>54</v>
      </c>
      <c r="H30" t="s">
        <v>41</v>
      </c>
      <c r="I30">
        <f t="shared" si="2"/>
        <v>0</v>
      </c>
    </row>
    <row r="31" spans="1:11" x14ac:dyDescent="0.25">
      <c r="A31" t="s">
        <v>4</v>
      </c>
      <c r="B31">
        <v>55</v>
      </c>
      <c r="C31" t="str">
        <f>_xlfn.XLOOKUP(B31,'FPGA-SC-02033-2-0-ECP5U-25-Pino'!I:I,'FPGA-SC-02033-2-0-ECP5U-25-Pino'!C:C,"")</f>
        <v/>
      </c>
      <c r="D31">
        <f t="shared" si="5"/>
        <v>0</v>
      </c>
      <c r="E31">
        <f t="shared" si="6"/>
        <v>0</v>
      </c>
      <c r="F31" t="str">
        <f>_xlfn.XLOOKUP(G31,'FPGA-SC-02033-2-0-ECP5U-25-Pino'!I:I,'FPGA-SC-02033-2-0-ECP5U-25-Pino'!C:C,"")</f>
        <v/>
      </c>
      <c r="G31">
        <v>56</v>
      </c>
      <c r="H31" t="s">
        <v>4</v>
      </c>
      <c r="I31">
        <f t="shared" si="2"/>
        <v>0</v>
      </c>
    </row>
    <row r="32" spans="1:11" x14ac:dyDescent="0.25">
      <c r="A32" t="s">
        <v>42</v>
      </c>
      <c r="B32">
        <v>57</v>
      </c>
      <c r="C32">
        <f>_xlfn.XLOOKUP(B32,'FPGA-SC-02033-2-0-ECP5U-25-Pino'!I:I,'FPGA-SC-02033-2-0-ECP5U-25-Pino'!C:C,"")</f>
        <v>3</v>
      </c>
      <c r="D32">
        <f t="shared" si="5"/>
        <v>0</v>
      </c>
      <c r="E32">
        <f t="shared" si="6"/>
        <v>0</v>
      </c>
      <c r="F32">
        <f>_xlfn.XLOOKUP(G32,'FPGA-SC-02033-2-0-ECP5U-25-Pino'!I:I,'FPGA-SC-02033-2-0-ECP5U-25-Pino'!C:C,"")</f>
        <v>6</v>
      </c>
      <c r="G32">
        <v>58</v>
      </c>
      <c r="H32" t="s">
        <v>43</v>
      </c>
      <c r="I32">
        <f t="shared" si="2"/>
        <v>0</v>
      </c>
    </row>
    <row r="33" spans="1:9" x14ac:dyDescent="0.25">
      <c r="A33" t="s">
        <v>44</v>
      </c>
      <c r="B33">
        <v>59</v>
      </c>
      <c r="C33">
        <f>_xlfn.XLOOKUP(B33,'FPGA-SC-02033-2-0-ECP5U-25-Pino'!I:I,'FPGA-SC-02033-2-0-ECP5U-25-Pino'!C:C,"")</f>
        <v>3</v>
      </c>
      <c r="D33">
        <f t="shared" si="5"/>
        <v>0</v>
      </c>
      <c r="E33">
        <f t="shared" si="6"/>
        <v>0</v>
      </c>
      <c r="F33">
        <f>_xlfn.XLOOKUP(G33,'FPGA-SC-02033-2-0-ECP5U-25-Pino'!I:I,'FPGA-SC-02033-2-0-ECP5U-25-Pino'!C:C,"")</f>
        <v>6</v>
      </c>
      <c r="G33">
        <v>60</v>
      </c>
      <c r="H33" t="s">
        <v>45</v>
      </c>
      <c r="I33">
        <f t="shared" si="2"/>
        <v>0</v>
      </c>
    </row>
    <row r="34" spans="1:9" x14ac:dyDescent="0.25">
      <c r="A34" t="s">
        <v>46</v>
      </c>
      <c r="B34">
        <v>61</v>
      </c>
      <c r="C34">
        <f>_xlfn.XLOOKUP(B34,'FPGA-SC-02033-2-0-ECP5U-25-Pino'!I:I,'FPGA-SC-02033-2-0-ECP5U-25-Pino'!C:C,"")</f>
        <v>3</v>
      </c>
      <c r="D34">
        <f t="shared" si="5"/>
        <v>0</v>
      </c>
      <c r="E34">
        <f t="shared" si="6"/>
        <v>0</v>
      </c>
      <c r="F34">
        <f>_xlfn.XLOOKUP(G34,'FPGA-SC-02033-2-0-ECP5U-25-Pino'!I:I,'FPGA-SC-02033-2-0-ECP5U-25-Pino'!C:C,"")</f>
        <v>8</v>
      </c>
      <c r="G34">
        <v>62</v>
      </c>
      <c r="H34" t="s">
        <v>47</v>
      </c>
      <c r="I34">
        <f t="shared" si="2"/>
        <v>0</v>
      </c>
    </row>
    <row r="35" spans="1:9" x14ac:dyDescent="0.25">
      <c r="A35" t="s">
        <v>48</v>
      </c>
      <c r="B35">
        <v>63</v>
      </c>
      <c r="C35">
        <f>_xlfn.XLOOKUP(B35,'FPGA-SC-02033-2-0-ECP5U-25-Pino'!I:I,'FPGA-SC-02033-2-0-ECP5U-25-Pino'!C:C,"")</f>
        <v>3</v>
      </c>
      <c r="D35">
        <f t="shared" si="5"/>
        <v>0</v>
      </c>
      <c r="E35">
        <f t="shared" si="6"/>
        <v>0</v>
      </c>
      <c r="F35">
        <f>_xlfn.XLOOKUP(G35,'FPGA-SC-02033-2-0-ECP5U-25-Pino'!I:I,'FPGA-SC-02033-2-0-ECP5U-25-Pino'!C:C,"")</f>
        <v>6</v>
      </c>
      <c r="G35">
        <v>64</v>
      </c>
      <c r="H35" t="s">
        <v>49</v>
      </c>
      <c r="I35">
        <f t="shared" si="2"/>
        <v>0</v>
      </c>
    </row>
    <row r="36" spans="1:9" x14ac:dyDescent="0.25">
      <c r="A36" t="s">
        <v>50</v>
      </c>
      <c r="B36">
        <v>65</v>
      </c>
      <c r="C36">
        <f>_xlfn.XLOOKUP(B36,'FPGA-SC-02033-2-0-ECP5U-25-Pino'!I:I,'FPGA-SC-02033-2-0-ECP5U-25-Pino'!C:C,"")</f>
        <v>3</v>
      </c>
      <c r="D36">
        <f t="shared" si="5"/>
        <v>0</v>
      </c>
      <c r="E36">
        <f t="shared" si="6"/>
        <v>0</v>
      </c>
      <c r="F36">
        <f>_xlfn.XLOOKUP(G36,'FPGA-SC-02033-2-0-ECP5U-25-Pino'!I:I,'FPGA-SC-02033-2-0-ECP5U-25-Pino'!C:C,"")</f>
        <v>8</v>
      </c>
      <c r="G36">
        <v>66</v>
      </c>
      <c r="H36" t="s">
        <v>51</v>
      </c>
      <c r="I36">
        <f t="shared" si="2"/>
        <v>0</v>
      </c>
    </row>
    <row r="37" spans="1:9" x14ac:dyDescent="0.25">
      <c r="A37" t="s">
        <v>52</v>
      </c>
      <c r="B37">
        <v>67</v>
      </c>
      <c r="C37">
        <f>_xlfn.XLOOKUP(B37,'FPGA-SC-02033-2-0-ECP5U-25-Pino'!I:I,'FPGA-SC-02033-2-0-ECP5U-25-Pino'!C:C,"")</f>
        <v>3</v>
      </c>
      <c r="D37">
        <f t="shared" si="5"/>
        <v>0</v>
      </c>
      <c r="E37">
        <f t="shared" si="6"/>
        <v>0</v>
      </c>
      <c r="F37">
        <f>_xlfn.XLOOKUP(G37,'FPGA-SC-02033-2-0-ECP5U-25-Pino'!I:I,'FPGA-SC-02033-2-0-ECP5U-25-Pino'!C:C,"")</f>
        <v>8</v>
      </c>
      <c r="G37">
        <v>68</v>
      </c>
      <c r="H37" t="s">
        <v>53</v>
      </c>
      <c r="I37">
        <f t="shared" si="2"/>
        <v>0</v>
      </c>
    </row>
    <row r="38" spans="1:9" x14ac:dyDescent="0.25">
      <c r="A38" t="s">
        <v>54</v>
      </c>
      <c r="B38">
        <v>69</v>
      </c>
      <c r="C38">
        <f>_xlfn.XLOOKUP(B38,'FPGA-SC-02033-2-0-ECP5U-25-Pino'!I:I,'FPGA-SC-02033-2-0-ECP5U-25-Pino'!C:C,"")</f>
        <v>3</v>
      </c>
      <c r="D38">
        <f t="shared" si="5"/>
        <v>0</v>
      </c>
      <c r="E38">
        <f t="shared" si="6"/>
        <v>0</v>
      </c>
      <c r="F38">
        <f>_xlfn.XLOOKUP(G38,'FPGA-SC-02033-2-0-ECP5U-25-Pino'!I:I,'FPGA-SC-02033-2-0-ECP5U-25-Pino'!C:C,"")</f>
        <v>6</v>
      </c>
      <c r="G38">
        <v>70</v>
      </c>
      <c r="H38" t="s">
        <v>55</v>
      </c>
      <c r="I38">
        <f t="shared" si="2"/>
        <v>0</v>
      </c>
    </row>
    <row r="39" spans="1:9" x14ac:dyDescent="0.25">
      <c r="A39" t="s">
        <v>56</v>
      </c>
      <c r="B39">
        <v>71</v>
      </c>
      <c r="C39">
        <f>_xlfn.XLOOKUP(B39,'FPGA-SC-02033-2-0-ECP5U-25-Pino'!I:I,'FPGA-SC-02033-2-0-ECP5U-25-Pino'!C:C,"")</f>
        <v>3</v>
      </c>
      <c r="D39">
        <f t="shared" si="5"/>
        <v>0</v>
      </c>
      <c r="E39">
        <f t="shared" si="6"/>
        <v>0</v>
      </c>
      <c r="F39">
        <f>_xlfn.XLOOKUP(G39,'FPGA-SC-02033-2-0-ECP5U-25-Pino'!I:I,'FPGA-SC-02033-2-0-ECP5U-25-Pino'!C:C,"")</f>
        <v>6</v>
      </c>
      <c r="G39">
        <v>72</v>
      </c>
      <c r="H39" t="s">
        <v>57</v>
      </c>
      <c r="I39">
        <f t="shared" si="2"/>
        <v>0</v>
      </c>
    </row>
    <row r="40" spans="1:9" x14ac:dyDescent="0.25">
      <c r="A40" t="s">
        <v>58</v>
      </c>
      <c r="B40">
        <v>73</v>
      </c>
      <c r="C40">
        <f>_xlfn.XLOOKUP(B40,'FPGA-SC-02033-2-0-ECP5U-25-Pino'!I:I,'FPGA-SC-02033-2-0-ECP5U-25-Pino'!C:C,"")</f>
        <v>3</v>
      </c>
      <c r="D40">
        <f t="shared" si="5"/>
        <v>0</v>
      </c>
      <c r="E40">
        <f t="shared" si="6"/>
        <v>0</v>
      </c>
      <c r="F40">
        <f>_xlfn.XLOOKUP(G40,'FPGA-SC-02033-2-0-ECP5U-25-Pino'!I:I,'FPGA-SC-02033-2-0-ECP5U-25-Pino'!C:C,"")</f>
        <v>6</v>
      </c>
      <c r="G40">
        <v>74</v>
      </c>
      <c r="H40" t="s">
        <v>59</v>
      </c>
      <c r="I40">
        <f t="shared" si="2"/>
        <v>0</v>
      </c>
    </row>
    <row r="41" spans="1:9" x14ac:dyDescent="0.25">
      <c r="A41" t="s">
        <v>60</v>
      </c>
      <c r="B41">
        <v>75</v>
      </c>
      <c r="C41">
        <f>_xlfn.XLOOKUP(B41,'FPGA-SC-02033-2-0-ECP5U-25-Pino'!I:I,'FPGA-SC-02033-2-0-ECP5U-25-Pino'!C:C,"")</f>
        <v>3</v>
      </c>
      <c r="D41">
        <f t="shared" si="5"/>
        <v>0</v>
      </c>
      <c r="E41">
        <f t="shared" si="6"/>
        <v>0</v>
      </c>
      <c r="F41">
        <f>_xlfn.XLOOKUP(G41,'FPGA-SC-02033-2-0-ECP5U-25-Pino'!I:I,'FPGA-SC-02033-2-0-ECP5U-25-Pino'!C:C,"")</f>
        <v>6</v>
      </c>
      <c r="G41">
        <v>76</v>
      </c>
      <c r="H41" t="s">
        <v>61</v>
      </c>
      <c r="I41">
        <f t="shared" si="2"/>
        <v>0</v>
      </c>
    </row>
    <row r="42" spans="1:9" x14ac:dyDescent="0.25">
      <c r="A42" t="s">
        <v>62</v>
      </c>
      <c r="B42">
        <v>77</v>
      </c>
      <c r="C42">
        <f>_xlfn.XLOOKUP(B42,'FPGA-SC-02033-2-0-ECP5U-25-Pino'!I:I,'FPGA-SC-02033-2-0-ECP5U-25-Pino'!C:C,"")</f>
        <v>3</v>
      </c>
      <c r="D42">
        <f t="shared" si="5"/>
        <v>0</v>
      </c>
      <c r="E42">
        <f t="shared" si="6"/>
        <v>0</v>
      </c>
      <c r="F42">
        <f>_xlfn.XLOOKUP(G42,'FPGA-SC-02033-2-0-ECP5U-25-Pino'!I:I,'FPGA-SC-02033-2-0-ECP5U-25-Pino'!C:C,"")</f>
        <v>3</v>
      </c>
      <c r="G42">
        <v>78</v>
      </c>
      <c r="H42" t="s">
        <v>63</v>
      </c>
      <c r="I42">
        <f t="shared" si="2"/>
        <v>0</v>
      </c>
    </row>
    <row r="43" spans="1:9" x14ac:dyDescent="0.25">
      <c r="A43" t="s">
        <v>64</v>
      </c>
      <c r="B43">
        <v>79</v>
      </c>
      <c r="C43">
        <f>_xlfn.XLOOKUP(B43,'FPGA-SC-02033-2-0-ECP5U-25-Pino'!I:I,'FPGA-SC-02033-2-0-ECP5U-25-Pino'!C:C,"")</f>
        <v>3</v>
      </c>
      <c r="D43">
        <f t="shared" si="5"/>
        <v>0</v>
      </c>
      <c r="E43">
        <f t="shared" si="6"/>
        <v>0</v>
      </c>
      <c r="F43">
        <f>_xlfn.XLOOKUP(G43,'FPGA-SC-02033-2-0-ECP5U-25-Pino'!I:I,'FPGA-SC-02033-2-0-ECP5U-25-Pino'!C:C,"")</f>
        <v>2</v>
      </c>
      <c r="G43">
        <v>80</v>
      </c>
      <c r="H43" t="s">
        <v>65</v>
      </c>
      <c r="I43">
        <f t="shared" si="2"/>
        <v>0</v>
      </c>
    </row>
    <row r="44" spans="1:9" x14ac:dyDescent="0.25">
      <c r="A44" s="1" t="s">
        <v>11</v>
      </c>
      <c r="B44" s="1">
        <v>81</v>
      </c>
      <c r="C44">
        <f>_xlfn.XLOOKUP(B44,'FPGA-SC-02033-2-0-ECP5U-25-Pino'!I:I,'FPGA-SC-02033-2-0-ECP5U-25-Pino'!C:C,"")</f>
        <v>3</v>
      </c>
      <c r="D44">
        <f t="shared" si="5"/>
        <v>1</v>
      </c>
      <c r="E44">
        <f t="shared" si="6"/>
        <v>1</v>
      </c>
      <c r="F44">
        <f>_xlfn.XLOOKUP(G44,'FPGA-SC-02033-2-0-ECP5U-25-Pino'!I:I,'FPGA-SC-02033-2-0-ECP5U-25-Pino'!C:C,"")</f>
        <v>2</v>
      </c>
      <c r="G44" s="1">
        <v>82</v>
      </c>
      <c r="H44" s="1" t="s">
        <v>66</v>
      </c>
      <c r="I44">
        <f t="shared" si="2"/>
        <v>2</v>
      </c>
    </row>
    <row r="45" spans="1:9" x14ac:dyDescent="0.25">
      <c r="A45" s="1" t="s">
        <v>67</v>
      </c>
      <c r="B45" s="1">
        <v>83</v>
      </c>
      <c r="C45">
        <f>_xlfn.XLOOKUP(B45,'FPGA-SC-02033-2-0-ECP5U-25-Pino'!I:I,'FPGA-SC-02033-2-0-ECP5U-25-Pino'!C:C,"")</f>
        <v>3</v>
      </c>
      <c r="D45">
        <f t="shared" si="5"/>
        <v>1</v>
      </c>
      <c r="E45">
        <f t="shared" si="6"/>
        <v>0</v>
      </c>
      <c r="F45">
        <f>_xlfn.XLOOKUP(G45,'FPGA-SC-02033-2-0-ECP5U-25-Pino'!I:I,'FPGA-SC-02033-2-0-ECP5U-25-Pino'!C:C,"")</f>
        <v>2</v>
      </c>
      <c r="G45">
        <v>84</v>
      </c>
      <c r="H45" t="s">
        <v>68</v>
      </c>
      <c r="I45">
        <f t="shared" si="2"/>
        <v>1</v>
      </c>
    </row>
    <row r="46" spans="1:9" x14ac:dyDescent="0.25">
      <c r="A46" s="1" t="s">
        <v>69</v>
      </c>
      <c r="B46" s="1">
        <v>85</v>
      </c>
      <c r="C46">
        <f>_xlfn.XLOOKUP(B46,'FPGA-SC-02033-2-0-ECP5U-25-Pino'!I:I,'FPGA-SC-02033-2-0-ECP5U-25-Pino'!C:C,"")</f>
        <v>2</v>
      </c>
      <c r="D46">
        <f t="shared" si="5"/>
        <v>1</v>
      </c>
      <c r="E46">
        <f t="shared" si="6"/>
        <v>0</v>
      </c>
      <c r="F46">
        <f>_xlfn.XLOOKUP(G46,'FPGA-SC-02033-2-0-ECP5U-25-Pino'!I:I,'FPGA-SC-02033-2-0-ECP5U-25-Pino'!C:C,"")</f>
        <v>2</v>
      </c>
      <c r="G46">
        <v>86</v>
      </c>
      <c r="H46" t="s">
        <v>70</v>
      </c>
      <c r="I46">
        <f t="shared" si="2"/>
        <v>1</v>
      </c>
    </row>
    <row r="47" spans="1:9" x14ac:dyDescent="0.25">
      <c r="A47" s="1" t="s">
        <v>13</v>
      </c>
      <c r="B47" s="1">
        <v>87</v>
      </c>
      <c r="C47">
        <f>_xlfn.XLOOKUP(B47,'FPGA-SC-02033-2-0-ECP5U-25-Pino'!I:I,'FPGA-SC-02033-2-0-ECP5U-25-Pino'!C:C,"")</f>
        <v>2</v>
      </c>
      <c r="D47">
        <f t="shared" si="5"/>
        <v>1</v>
      </c>
      <c r="E47">
        <f t="shared" si="6"/>
        <v>0</v>
      </c>
      <c r="F47">
        <f>_xlfn.XLOOKUP(G47,'FPGA-SC-02033-2-0-ECP5U-25-Pino'!I:I,'FPGA-SC-02033-2-0-ECP5U-25-Pino'!C:C,"")</f>
        <v>2</v>
      </c>
      <c r="G47">
        <v>88</v>
      </c>
      <c r="H47" t="s">
        <v>71</v>
      </c>
      <c r="I47">
        <f t="shared" si="2"/>
        <v>1</v>
      </c>
    </row>
    <row r="48" spans="1:9" x14ac:dyDescent="0.25">
      <c r="A48" s="1" t="s">
        <v>72</v>
      </c>
      <c r="B48" s="1">
        <v>89</v>
      </c>
      <c r="C48">
        <f>_xlfn.XLOOKUP(B48,'FPGA-SC-02033-2-0-ECP5U-25-Pino'!I:I,'FPGA-SC-02033-2-0-ECP5U-25-Pino'!C:C,"")</f>
        <v>2</v>
      </c>
      <c r="D48">
        <f t="shared" si="5"/>
        <v>1</v>
      </c>
      <c r="E48">
        <f t="shared" si="6"/>
        <v>0</v>
      </c>
      <c r="F48">
        <f>_xlfn.XLOOKUP(G48,'FPGA-SC-02033-2-0-ECP5U-25-Pino'!I:I,'FPGA-SC-02033-2-0-ECP5U-25-Pino'!C:C,"")</f>
        <v>2</v>
      </c>
      <c r="G48">
        <v>90</v>
      </c>
      <c r="H48" t="s">
        <v>73</v>
      </c>
      <c r="I48">
        <f t="shared" si="2"/>
        <v>1</v>
      </c>
    </row>
    <row r="49" spans="1:9" x14ac:dyDescent="0.25">
      <c r="A49" s="1" t="s">
        <v>16</v>
      </c>
      <c r="B49" s="1">
        <v>91</v>
      </c>
      <c r="C49">
        <f>_xlfn.XLOOKUP(B49,'FPGA-SC-02033-2-0-ECP5U-25-Pino'!I:I,'FPGA-SC-02033-2-0-ECP5U-25-Pino'!C:C,"")</f>
        <v>2</v>
      </c>
      <c r="D49">
        <f t="shared" si="5"/>
        <v>1</v>
      </c>
      <c r="E49">
        <f t="shared" si="6"/>
        <v>0</v>
      </c>
      <c r="F49">
        <f>_xlfn.XLOOKUP(G49,'FPGA-SC-02033-2-0-ECP5U-25-Pino'!I:I,'FPGA-SC-02033-2-0-ECP5U-25-Pino'!C:C,"")</f>
        <v>2</v>
      </c>
      <c r="G49">
        <v>92</v>
      </c>
      <c r="H49" t="s">
        <v>74</v>
      </c>
      <c r="I49">
        <f t="shared" si="2"/>
        <v>1</v>
      </c>
    </row>
    <row r="50" spans="1:9" x14ac:dyDescent="0.25">
      <c r="A50" t="s">
        <v>75</v>
      </c>
      <c r="B50">
        <v>93</v>
      </c>
      <c r="C50">
        <f>_xlfn.XLOOKUP(B50,'FPGA-SC-02033-2-0-ECP5U-25-Pino'!I:I,'FPGA-SC-02033-2-0-ECP5U-25-Pino'!C:C,"")</f>
        <v>2</v>
      </c>
      <c r="D50">
        <f t="shared" si="5"/>
        <v>0</v>
      </c>
      <c r="E50">
        <f t="shared" si="6"/>
        <v>0</v>
      </c>
      <c r="F50">
        <f>_xlfn.XLOOKUP(G50,'FPGA-SC-02033-2-0-ECP5U-25-Pino'!I:I,'FPGA-SC-02033-2-0-ECP5U-25-Pino'!C:C,"")</f>
        <v>2</v>
      </c>
      <c r="G50">
        <v>94</v>
      </c>
      <c r="H50" t="s">
        <v>76</v>
      </c>
      <c r="I50">
        <f t="shared" si="2"/>
        <v>0</v>
      </c>
    </row>
    <row r="51" spans="1:9" x14ac:dyDescent="0.25">
      <c r="A51" t="s">
        <v>77</v>
      </c>
      <c r="B51">
        <v>95</v>
      </c>
      <c r="C51">
        <f>_xlfn.XLOOKUP(B51,'FPGA-SC-02033-2-0-ECP5U-25-Pino'!I:I,'FPGA-SC-02033-2-0-ECP5U-25-Pino'!C:C,"")</f>
        <v>2</v>
      </c>
      <c r="D51">
        <f t="shared" si="5"/>
        <v>0</v>
      </c>
      <c r="E51">
        <f t="shared" si="6"/>
        <v>0</v>
      </c>
      <c r="F51">
        <f>_xlfn.XLOOKUP(G51,'FPGA-SC-02033-2-0-ECP5U-25-Pino'!I:I,'FPGA-SC-02033-2-0-ECP5U-25-Pino'!C:C,"")</f>
        <v>2</v>
      </c>
      <c r="G51">
        <v>96</v>
      </c>
      <c r="H51" t="s">
        <v>78</v>
      </c>
      <c r="I51">
        <f t="shared" si="2"/>
        <v>0</v>
      </c>
    </row>
    <row r="52" spans="1:9" x14ac:dyDescent="0.25">
      <c r="A52" s="1" t="s">
        <v>19</v>
      </c>
      <c r="B52" s="1">
        <v>97</v>
      </c>
      <c r="C52">
        <f>_xlfn.XLOOKUP(B52,'FPGA-SC-02033-2-0-ECP5U-25-Pino'!I:I,'FPGA-SC-02033-2-0-ECP5U-25-Pino'!C:C,"")</f>
        <v>2</v>
      </c>
      <c r="D52">
        <f t="shared" si="5"/>
        <v>1</v>
      </c>
      <c r="E52">
        <f t="shared" si="6"/>
        <v>0</v>
      </c>
      <c r="F52">
        <f>_xlfn.XLOOKUP(G52,'FPGA-SC-02033-2-0-ECP5U-25-Pino'!I:I,'FPGA-SC-02033-2-0-ECP5U-25-Pino'!C:C,"")</f>
        <v>2</v>
      </c>
      <c r="G52">
        <v>98</v>
      </c>
      <c r="H52" t="s">
        <v>79</v>
      </c>
      <c r="I52">
        <f t="shared" si="2"/>
        <v>1</v>
      </c>
    </row>
    <row r="53" spans="1:9" x14ac:dyDescent="0.25">
      <c r="A53" t="s">
        <v>80</v>
      </c>
      <c r="B53">
        <v>99</v>
      </c>
      <c r="C53">
        <f>_xlfn.XLOOKUP(B53,'FPGA-SC-02033-2-0-ECP5U-25-Pino'!I:I,'FPGA-SC-02033-2-0-ECP5U-25-Pino'!C:C,"")</f>
        <v>2</v>
      </c>
      <c r="D53">
        <f t="shared" si="5"/>
        <v>0</v>
      </c>
      <c r="E53">
        <f t="shared" si="6"/>
        <v>0</v>
      </c>
      <c r="F53">
        <f>_xlfn.XLOOKUP(G53,'FPGA-SC-02033-2-0-ECP5U-25-Pino'!I:I,'FPGA-SC-02033-2-0-ECP5U-25-Pino'!C:C,"")</f>
        <v>2</v>
      </c>
      <c r="G53">
        <v>100</v>
      </c>
      <c r="H53" t="s">
        <v>81</v>
      </c>
      <c r="I53">
        <f t="shared" si="2"/>
        <v>0</v>
      </c>
    </row>
    <row r="54" spans="1:9" x14ac:dyDescent="0.25">
      <c r="A54" t="s">
        <v>82</v>
      </c>
      <c r="B54">
        <v>101</v>
      </c>
      <c r="C54">
        <f>_xlfn.XLOOKUP(B54,'FPGA-SC-02033-2-0-ECP5U-25-Pino'!I:I,'FPGA-SC-02033-2-0-ECP5U-25-Pino'!C:C,"")</f>
        <v>2</v>
      </c>
      <c r="D54">
        <f t="shared" si="5"/>
        <v>0</v>
      </c>
      <c r="E54">
        <f t="shared" si="6"/>
        <v>0</v>
      </c>
      <c r="F54">
        <f>_xlfn.XLOOKUP(G54,'FPGA-SC-02033-2-0-ECP5U-25-Pino'!I:I,'FPGA-SC-02033-2-0-ECP5U-25-Pino'!C:C,"")</f>
        <v>2</v>
      </c>
      <c r="G54">
        <v>102</v>
      </c>
      <c r="H54" t="s">
        <v>83</v>
      </c>
      <c r="I54">
        <f t="shared" si="2"/>
        <v>0</v>
      </c>
    </row>
    <row r="55" spans="1:9" x14ac:dyDescent="0.25">
      <c r="A55" t="s">
        <v>84</v>
      </c>
      <c r="B55">
        <v>103</v>
      </c>
      <c r="C55">
        <f>_xlfn.XLOOKUP(B55,'FPGA-SC-02033-2-0-ECP5U-25-Pino'!I:I,'FPGA-SC-02033-2-0-ECP5U-25-Pino'!C:C,"")</f>
        <v>2</v>
      </c>
      <c r="D55">
        <f t="shared" si="5"/>
        <v>0</v>
      </c>
      <c r="E55">
        <f t="shared" si="6"/>
        <v>0</v>
      </c>
      <c r="F55">
        <f>_xlfn.XLOOKUP(G55,'FPGA-SC-02033-2-0-ECP5U-25-Pino'!I:I,'FPGA-SC-02033-2-0-ECP5U-25-Pino'!C:C,"")</f>
        <v>2</v>
      </c>
      <c r="G55">
        <v>104</v>
      </c>
      <c r="H55" t="s">
        <v>85</v>
      </c>
      <c r="I55">
        <f t="shared" si="2"/>
        <v>0</v>
      </c>
    </row>
    <row r="56" spans="1:9" x14ac:dyDescent="0.25">
      <c r="A56" t="s">
        <v>4</v>
      </c>
      <c r="B56">
        <v>105</v>
      </c>
      <c r="C56" t="str">
        <f>_xlfn.XLOOKUP(B56,'FPGA-SC-02033-2-0-ECP5U-25-Pino'!I:I,'FPGA-SC-02033-2-0-ECP5U-25-Pino'!C:C,"")</f>
        <v/>
      </c>
      <c r="D56">
        <f t="shared" si="5"/>
        <v>0</v>
      </c>
      <c r="E56">
        <f t="shared" si="6"/>
        <v>0</v>
      </c>
      <c r="F56" t="str">
        <f>_xlfn.XLOOKUP(G56,'FPGA-SC-02033-2-0-ECP5U-25-Pino'!I:I,'FPGA-SC-02033-2-0-ECP5U-25-Pino'!C:C,"")</f>
        <v/>
      </c>
      <c r="G56">
        <v>106</v>
      </c>
      <c r="H56" t="s">
        <v>4</v>
      </c>
      <c r="I56">
        <f t="shared" si="2"/>
        <v>0</v>
      </c>
    </row>
    <row r="57" spans="1:9" x14ac:dyDescent="0.25">
      <c r="A57" t="s">
        <v>4</v>
      </c>
      <c r="B57">
        <v>107</v>
      </c>
      <c r="C57" t="str">
        <f>_xlfn.XLOOKUP(B57,'FPGA-SC-02033-2-0-ECP5U-25-Pino'!I:I,'FPGA-SC-02033-2-0-ECP5U-25-Pino'!C:C,"")</f>
        <v/>
      </c>
      <c r="D57">
        <f t="shared" si="5"/>
        <v>0</v>
      </c>
      <c r="E57">
        <f t="shared" si="6"/>
        <v>0</v>
      </c>
      <c r="F57" t="str">
        <f>_xlfn.XLOOKUP(G57,'FPGA-SC-02033-2-0-ECP5U-25-Pino'!I:I,'FPGA-SC-02033-2-0-ECP5U-25-Pino'!C:C,"")</f>
        <v/>
      </c>
      <c r="G57">
        <v>108</v>
      </c>
      <c r="H57" t="s">
        <v>4</v>
      </c>
      <c r="I57">
        <f t="shared" si="2"/>
        <v>0</v>
      </c>
    </row>
    <row r="58" spans="1:9" x14ac:dyDescent="0.25">
      <c r="A58" t="s">
        <v>86</v>
      </c>
      <c r="B58">
        <v>109</v>
      </c>
      <c r="C58">
        <f>_xlfn.XLOOKUP(B58,'FPGA-SC-02033-2-0-ECP5U-25-Pino'!I:I,'FPGA-SC-02033-2-0-ECP5U-25-Pino'!C:C,"")</f>
        <v>2</v>
      </c>
      <c r="D58">
        <f t="shared" si="5"/>
        <v>0</v>
      </c>
      <c r="E58">
        <f t="shared" si="6"/>
        <v>0</v>
      </c>
      <c r="F58">
        <f>_xlfn.XLOOKUP(G58,'FPGA-SC-02033-2-0-ECP5U-25-Pino'!I:I,'FPGA-SC-02033-2-0-ECP5U-25-Pino'!C:C,"")</f>
        <v>2</v>
      </c>
      <c r="G58">
        <v>110</v>
      </c>
      <c r="H58" t="s">
        <v>87</v>
      </c>
      <c r="I58">
        <f t="shared" si="2"/>
        <v>0</v>
      </c>
    </row>
    <row r="59" spans="1:9" x14ac:dyDescent="0.25">
      <c r="A59" t="s">
        <v>88</v>
      </c>
      <c r="B59">
        <v>111</v>
      </c>
      <c r="C59">
        <f>_xlfn.XLOOKUP(B59,'FPGA-SC-02033-2-0-ECP5U-25-Pino'!I:I,'FPGA-SC-02033-2-0-ECP5U-25-Pino'!C:C,"")</f>
        <v>2</v>
      </c>
      <c r="D59">
        <f t="shared" si="5"/>
        <v>0</v>
      </c>
      <c r="E59">
        <f t="shared" si="6"/>
        <v>0</v>
      </c>
      <c r="F59">
        <f>_xlfn.XLOOKUP(G59,'FPGA-SC-02033-2-0-ECP5U-25-Pino'!I:I,'FPGA-SC-02033-2-0-ECP5U-25-Pino'!C:C,"")</f>
        <v>2</v>
      </c>
      <c r="G59">
        <v>112</v>
      </c>
      <c r="H59" t="s">
        <v>89</v>
      </c>
      <c r="I59">
        <f t="shared" si="2"/>
        <v>0</v>
      </c>
    </row>
    <row r="60" spans="1:9" x14ac:dyDescent="0.25">
      <c r="A60" t="s">
        <v>90</v>
      </c>
      <c r="B60">
        <v>113</v>
      </c>
      <c r="C60">
        <f>_xlfn.XLOOKUP(B60,'FPGA-SC-02033-2-0-ECP5U-25-Pino'!I:I,'FPGA-SC-02033-2-0-ECP5U-25-Pino'!C:C,"")</f>
        <v>2</v>
      </c>
      <c r="D60">
        <f t="shared" si="5"/>
        <v>0</v>
      </c>
      <c r="E60">
        <f t="shared" si="6"/>
        <v>0</v>
      </c>
      <c r="F60">
        <f>_xlfn.XLOOKUP(G60,'FPGA-SC-02033-2-0-ECP5U-25-Pino'!I:I,'FPGA-SC-02033-2-0-ECP5U-25-Pino'!C:C,"")</f>
        <v>2</v>
      </c>
      <c r="G60">
        <v>114</v>
      </c>
      <c r="H60" t="s">
        <v>91</v>
      </c>
      <c r="I60">
        <f t="shared" si="2"/>
        <v>0</v>
      </c>
    </row>
    <row r="61" spans="1:9" x14ac:dyDescent="0.25">
      <c r="A61" t="s">
        <v>92</v>
      </c>
      <c r="B61">
        <v>115</v>
      </c>
      <c r="C61">
        <f>_xlfn.XLOOKUP(B61,'FPGA-SC-02033-2-0-ECP5U-25-Pino'!I:I,'FPGA-SC-02033-2-0-ECP5U-25-Pino'!C:C,"")</f>
        <v>2</v>
      </c>
      <c r="D61">
        <f t="shared" si="5"/>
        <v>0</v>
      </c>
      <c r="E61">
        <f t="shared" si="6"/>
        <v>0</v>
      </c>
      <c r="F61">
        <f>_xlfn.XLOOKUP(G61,'FPGA-SC-02033-2-0-ECP5U-25-Pino'!I:I,'FPGA-SC-02033-2-0-ECP5U-25-Pino'!C:C,"")</f>
        <v>7</v>
      </c>
      <c r="G61">
        <v>116</v>
      </c>
      <c r="H61" t="s">
        <v>93</v>
      </c>
      <c r="I61">
        <f t="shared" si="2"/>
        <v>0</v>
      </c>
    </row>
    <row r="62" spans="1:9" x14ac:dyDescent="0.25">
      <c r="A62" t="s">
        <v>94</v>
      </c>
      <c r="B62">
        <v>117</v>
      </c>
      <c r="C62">
        <f>_xlfn.XLOOKUP(B62,'FPGA-SC-02033-2-0-ECP5U-25-Pino'!I:I,'FPGA-SC-02033-2-0-ECP5U-25-Pino'!C:C,"")</f>
        <v>1</v>
      </c>
      <c r="D62">
        <f t="shared" si="5"/>
        <v>0</v>
      </c>
      <c r="E62">
        <f t="shared" si="6"/>
        <v>0</v>
      </c>
      <c r="F62">
        <f>_xlfn.XLOOKUP(G62,'FPGA-SC-02033-2-0-ECP5U-25-Pino'!I:I,'FPGA-SC-02033-2-0-ECP5U-25-Pino'!C:C,"")</f>
        <v>1</v>
      </c>
      <c r="G62">
        <v>118</v>
      </c>
      <c r="H62" t="s">
        <v>95</v>
      </c>
      <c r="I62">
        <f t="shared" si="2"/>
        <v>0</v>
      </c>
    </row>
    <row r="63" spans="1:9" x14ac:dyDescent="0.25">
      <c r="A63" t="s">
        <v>96</v>
      </c>
      <c r="B63">
        <v>119</v>
      </c>
      <c r="C63">
        <f>_xlfn.XLOOKUP(B63,'FPGA-SC-02033-2-0-ECP5U-25-Pino'!I:I,'FPGA-SC-02033-2-0-ECP5U-25-Pino'!C:C,"")</f>
        <v>1</v>
      </c>
      <c r="D63">
        <f t="shared" si="5"/>
        <v>0</v>
      </c>
      <c r="E63">
        <f t="shared" si="6"/>
        <v>0</v>
      </c>
      <c r="F63">
        <f>_xlfn.XLOOKUP(G63,'FPGA-SC-02033-2-0-ECP5U-25-Pino'!I:I,'FPGA-SC-02033-2-0-ECP5U-25-Pino'!C:C,"")</f>
        <v>7</v>
      </c>
      <c r="G63">
        <v>120</v>
      </c>
      <c r="H63" t="s">
        <v>97</v>
      </c>
      <c r="I63">
        <f t="shared" si="2"/>
        <v>0</v>
      </c>
    </row>
    <row r="64" spans="1:9" x14ac:dyDescent="0.25">
      <c r="A64" t="s">
        <v>98</v>
      </c>
      <c r="B64">
        <v>121</v>
      </c>
      <c r="C64">
        <f>_xlfn.XLOOKUP(B64,'FPGA-SC-02033-2-0-ECP5U-25-Pino'!I:I,'FPGA-SC-02033-2-0-ECP5U-25-Pino'!C:C,"")</f>
        <v>1</v>
      </c>
      <c r="D64">
        <f t="shared" si="5"/>
        <v>0</v>
      </c>
      <c r="E64">
        <f t="shared" si="6"/>
        <v>0</v>
      </c>
      <c r="F64">
        <f>_xlfn.XLOOKUP(G64,'FPGA-SC-02033-2-0-ECP5U-25-Pino'!I:I,'FPGA-SC-02033-2-0-ECP5U-25-Pino'!C:C,"")</f>
        <v>0</v>
      </c>
      <c r="G64">
        <v>122</v>
      </c>
      <c r="H64" t="s">
        <v>99</v>
      </c>
      <c r="I64">
        <f t="shared" si="2"/>
        <v>0</v>
      </c>
    </row>
    <row r="65" spans="1:9" x14ac:dyDescent="0.25">
      <c r="A65" t="s">
        <v>100</v>
      </c>
      <c r="B65">
        <v>123</v>
      </c>
      <c r="C65">
        <f>_xlfn.XLOOKUP(B65,'FPGA-SC-02033-2-0-ECP5U-25-Pino'!I:I,'FPGA-SC-02033-2-0-ECP5U-25-Pino'!C:C,"")</f>
        <v>1</v>
      </c>
      <c r="D65">
        <f t="shared" si="5"/>
        <v>0</v>
      </c>
      <c r="E65">
        <f t="shared" si="6"/>
        <v>0</v>
      </c>
      <c r="F65">
        <f>_xlfn.XLOOKUP(G65,'FPGA-SC-02033-2-0-ECP5U-25-Pino'!I:I,'FPGA-SC-02033-2-0-ECP5U-25-Pino'!C:C,"")</f>
        <v>7</v>
      </c>
      <c r="G65">
        <v>124</v>
      </c>
      <c r="H65" t="s">
        <v>101</v>
      </c>
      <c r="I65">
        <f t="shared" si="2"/>
        <v>0</v>
      </c>
    </row>
    <row r="66" spans="1:9" x14ac:dyDescent="0.25">
      <c r="A66" t="s">
        <v>102</v>
      </c>
      <c r="B66">
        <v>125</v>
      </c>
      <c r="C66">
        <f>_xlfn.XLOOKUP(B66,'FPGA-SC-02033-2-0-ECP5U-25-Pino'!I:I,'FPGA-SC-02033-2-0-ECP5U-25-Pino'!C:C,"")</f>
        <v>1</v>
      </c>
      <c r="D66">
        <f t="shared" si="5"/>
        <v>0</v>
      </c>
      <c r="E66">
        <f t="shared" si="6"/>
        <v>0</v>
      </c>
      <c r="F66">
        <f>_xlfn.XLOOKUP(G66,'FPGA-SC-02033-2-0-ECP5U-25-Pino'!I:I,'FPGA-SC-02033-2-0-ECP5U-25-Pino'!C:C,"")</f>
        <v>7</v>
      </c>
      <c r="G66">
        <v>126</v>
      </c>
      <c r="H66" t="s">
        <v>103</v>
      </c>
      <c r="I66">
        <f t="shared" si="2"/>
        <v>0</v>
      </c>
    </row>
    <row r="67" spans="1:9" x14ac:dyDescent="0.25">
      <c r="A67" t="s">
        <v>104</v>
      </c>
      <c r="B67">
        <v>127</v>
      </c>
      <c r="C67">
        <f>_xlfn.XLOOKUP(B67,'FPGA-SC-02033-2-0-ECP5U-25-Pino'!I:I,'FPGA-SC-02033-2-0-ECP5U-25-Pino'!C:C,"")</f>
        <v>1</v>
      </c>
      <c r="D67">
        <f t="shared" si="5"/>
        <v>0</v>
      </c>
      <c r="E67">
        <f t="shared" si="6"/>
        <v>0</v>
      </c>
      <c r="F67">
        <f>_xlfn.XLOOKUP(G67,'FPGA-SC-02033-2-0-ECP5U-25-Pino'!I:I,'FPGA-SC-02033-2-0-ECP5U-25-Pino'!C:C,"")</f>
        <v>7</v>
      </c>
      <c r="G67">
        <v>128</v>
      </c>
      <c r="H67" t="s">
        <v>105</v>
      </c>
      <c r="I67">
        <f t="shared" ref="I67:I103" si="7">D67+E67</f>
        <v>0</v>
      </c>
    </row>
    <row r="68" spans="1:9" x14ac:dyDescent="0.25">
      <c r="A68" t="s">
        <v>106</v>
      </c>
      <c r="B68">
        <v>129</v>
      </c>
      <c r="C68">
        <f>_xlfn.XLOOKUP(B68,'FPGA-SC-02033-2-0-ECP5U-25-Pino'!I:I,'FPGA-SC-02033-2-0-ECP5U-25-Pino'!C:C,"")</f>
        <v>7</v>
      </c>
      <c r="D68">
        <f t="shared" si="5"/>
        <v>0</v>
      </c>
      <c r="E68">
        <f t="shared" si="6"/>
        <v>1</v>
      </c>
      <c r="F68">
        <f>_xlfn.XLOOKUP(G68,'FPGA-SC-02033-2-0-ECP5U-25-Pino'!I:I,'FPGA-SC-02033-2-0-ECP5U-25-Pino'!C:C,"")</f>
        <v>6</v>
      </c>
      <c r="G68" s="1">
        <v>130</v>
      </c>
      <c r="H68" s="1" t="s">
        <v>9</v>
      </c>
      <c r="I68">
        <f t="shared" si="7"/>
        <v>1</v>
      </c>
    </row>
    <row r="69" spans="1:9" x14ac:dyDescent="0.25">
      <c r="A69" t="s">
        <v>107</v>
      </c>
      <c r="B69">
        <v>131</v>
      </c>
      <c r="C69">
        <f>_xlfn.XLOOKUP(B69,'FPGA-SC-02033-2-0-ECP5U-25-Pino'!I:I,'FPGA-SC-02033-2-0-ECP5U-25-Pino'!C:C,"")</f>
        <v>7</v>
      </c>
      <c r="D69">
        <f t="shared" si="5"/>
        <v>0</v>
      </c>
      <c r="E69">
        <f t="shared" si="6"/>
        <v>1</v>
      </c>
      <c r="F69">
        <f>_xlfn.XLOOKUP(G69,'FPGA-SC-02033-2-0-ECP5U-25-Pino'!I:I,'FPGA-SC-02033-2-0-ECP5U-25-Pino'!C:C,"")</f>
        <v>7</v>
      </c>
      <c r="G69" s="1">
        <v>132</v>
      </c>
      <c r="H69" s="1" t="s">
        <v>8</v>
      </c>
      <c r="I69">
        <f t="shared" si="7"/>
        <v>1</v>
      </c>
    </row>
    <row r="70" spans="1:9" x14ac:dyDescent="0.25">
      <c r="A70" t="s">
        <v>108</v>
      </c>
      <c r="B70">
        <v>133</v>
      </c>
      <c r="C70">
        <f>_xlfn.XLOOKUP(B70,'FPGA-SC-02033-2-0-ECP5U-25-Pino'!I:I,'FPGA-SC-02033-2-0-ECP5U-25-Pino'!C:C,"")</f>
        <v>7</v>
      </c>
      <c r="D70">
        <f t="shared" si="5"/>
        <v>0</v>
      </c>
      <c r="E70">
        <f t="shared" si="6"/>
        <v>1</v>
      </c>
      <c r="F70">
        <f>_xlfn.XLOOKUP(G70,'FPGA-SC-02033-2-0-ECP5U-25-Pino'!I:I,'FPGA-SC-02033-2-0-ECP5U-25-Pino'!C:C,"")</f>
        <v>7</v>
      </c>
      <c r="G70" s="1">
        <v>134</v>
      </c>
      <c r="H70" s="1" t="s">
        <v>7</v>
      </c>
      <c r="I70">
        <f t="shared" si="7"/>
        <v>1</v>
      </c>
    </row>
    <row r="71" spans="1:9" x14ac:dyDescent="0.25">
      <c r="A71" t="s">
        <v>109</v>
      </c>
      <c r="B71">
        <v>135</v>
      </c>
      <c r="C71">
        <f>_xlfn.XLOOKUP(B71,'FPGA-SC-02033-2-0-ECP5U-25-Pino'!I:I,'FPGA-SC-02033-2-0-ECP5U-25-Pino'!C:C,"")</f>
        <v>7</v>
      </c>
      <c r="D71">
        <f t="shared" si="5"/>
        <v>0</v>
      </c>
      <c r="E71">
        <f t="shared" si="6"/>
        <v>0</v>
      </c>
      <c r="F71">
        <f>_xlfn.XLOOKUP(G71,'FPGA-SC-02033-2-0-ECP5U-25-Pino'!I:I,'FPGA-SC-02033-2-0-ECP5U-25-Pino'!C:C,"")</f>
        <v>7</v>
      </c>
      <c r="G71">
        <v>136</v>
      </c>
      <c r="H71" t="s">
        <v>110</v>
      </c>
      <c r="I71">
        <f t="shared" si="7"/>
        <v>0</v>
      </c>
    </row>
    <row r="72" spans="1:9" x14ac:dyDescent="0.25">
      <c r="A72" t="s">
        <v>111</v>
      </c>
      <c r="B72">
        <v>137</v>
      </c>
      <c r="C72">
        <f>_xlfn.XLOOKUP(B72,'FPGA-SC-02033-2-0-ECP5U-25-Pino'!I:I,'FPGA-SC-02033-2-0-ECP5U-25-Pino'!C:C,"")</f>
        <v>7</v>
      </c>
      <c r="D72">
        <f t="shared" si="5"/>
        <v>0</v>
      </c>
      <c r="E72">
        <f t="shared" si="6"/>
        <v>1</v>
      </c>
      <c r="F72">
        <f>_xlfn.XLOOKUP(G72,'FPGA-SC-02033-2-0-ECP5U-25-Pino'!I:I,'FPGA-SC-02033-2-0-ECP5U-25-Pino'!C:C,"")</f>
        <v>7</v>
      </c>
      <c r="G72" s="1">
        <v>138</v>
      </c>
      <c r="H72" s="1" t="s">
        <v>6</v>
      </c>
      <c r="I72">
        <f t="shared" si="7"/>
        <v>1</v>
      </c>
    </row>
    <row r="73" spans="1:9" x14ac:dyDescent="0.25">
      <c r="A73" t="s">
        <v>112</v>
      </c>
      <c r="B73">
        <v>139</v>
      </c>
      <c r="C73">
        <f>_xlfn.XLOOKUP(B73,'FPGA-SC-02033-2-0-ECP5U-25-Pino'!I:I,'FPGA-SC-02033-2-0-ECP5U-25-Pino'!C:C,"")</f>
        <v>7</v>
      </c>
      <c r="D73">
        <f t="shared" si="5"/>
        <v>0</v>
      </c>
      <c r="E73">
        <f t="shared" si="6"/>
        <v>1</v>
      </c>
      <c r="F73">
        <f>_xlfn.XLOOKUP(G73,'FPGA-SC-02033-2-0-ECP5U-25-Pino'!I:I,'FPGA-SC-02033-2-0-ECP5U-25-Pino'!C:C,"")</f>
        <v>7</v>
      </c>
      <c r="G73" s="1">
        <v>140</v>
      </c>
      <c r="H73" s="1" t="s">
        <v>113</v>
      </c>
      <c r="I73">
        <f t="shared" si="7"/>
        <v>1</v>
      </c>
    </row>
    <row r="74" spans="1:9" x14ac:dyDescent="0.25">
      <c r="A74" t="s">
        <v>114</v>
      </c>
      <c r="B74">
        <v>141</v>
      </c>
      <c r="C74">
        <f>_xlfn.XLOOKUP(B74,'FPGA-SC-02033-2-0-ECP5U-25-Pino'!I:I,'FPGA-SC-02033-2-0-ECP5U-25-Pino'!C:C,"")</f>
        <v>7</v>
      </c>
      <c r="D74">
        <f t="shared" si="5"/>
        <v>0</v>
      </c>
      <c r="E74">
        <f t="shared" si="6"/>
        <v>1</v>
      </c>
      <c r="F74">
        <f>_xlfn.XLOOKUP(G74,'FPGA-SC-02033-2-0-ECP5U-25-Pino'!I:I,'FPGA-SC-02033-2-0-ECP5U-25-Pino'!C:C,"")</f>
        <v>6</v>
      </c>
      <c r="G74" s="1">
        <v>142</v>
      </c>
      <c r="H74" s="1" t="s">
        <v>10</v>
      </c>
      <c r="I74">
        <f t="shared" si="7"/>
        <v>1</v>
      </c>
    </row>
    <row r="75" spans="1:9" x14ac:dyDescent="0.25">
      <c r="A75" t="s">
        <v>115</v>
      </c>
      <c r="B75">
        <v>143</v>
      </c>
      <c r="C75">
        <f>_xlfn.XLOOKUP(B75,'FPGA-SC-02033-2-0-ECP5U-25-Pino'!I:I,'FPGA-SC-02033-2-0-ECP5U-25-Pino'!C:C,"")</f>
        <v>7</v>
      </c>
      <c r="D75">
        <f t="shared" si="5"/>
        <v>0</v>
      </c>
      <c r="E75">
        <f t="shared" si="6"/>
        <v>0</v>
      </c>
      <c r="F75">
        <f>_xlfn.XLOOKUP(G75,'FPGA-SC-02033-2-0-ECP5U-25-Pino'!I:I,'FPGA-SC-02033-2-0-ECP5U-25-Pino'!C:C,"")</f>
        <v>6</v>
      </c>
      <c r="G75">
        <v>144</v>
      </c>
      <c r="H75" t="s">
        <v>116</v>
      </c>
      <c r="I75">
        <f t="shared" si="7"/>
        <v>0</v>
      </c>
    </row>
    <row r="76" spans="1:9" x14ac:dyDescent="0.25">
      <c r="A76" t="s">
        <v>117</v>
      </c>
      <c r="B76">
        <v>145</v>
      </c>
      <c r="C76">
        <f>_xlfn.XLOOKUP(B76,'FPGA-SC-02033-2-0-ECP5U-25-Pino'!I:I,'FPGA-SC-02033-2-0-ECP5U-25-Pino'!C:C,"")</f>
        <v>7</v>
      </c>
      <c r="D76">
        <f t="shared" si="5"/>
        <v>0</v>
      </c>
      <c r="E76">
        <f t="shared" si="6"/>
        <v>0</v>
      </c>
      <c r="F76">
        <f>_xlfn.XLOOKUP(G76,'FPGA-SC-02033-2-0-ECP5U-25-Pino'!I:I,'FPGA-SC-02033-2-0-ECP5U-25-Pino'!C:C,"")</f>
        <v>6</v>
      </c>
      <c r="G76">
        <v>146</v>
      </c>
      <c r="H76" t="s">
        <v>118</v>
      </c>
      <c r="I76">
        <f t="shared" si="7"/>
        <v>0</v>
      </c>
    </row>
    <row r="77" spans="1:9" x14ac:dyDescent="0.25">
      <c r="A77" t="s">
        <v>119</v>
      </c>
      <c r="B77">
        <v>147</v>
      </c>
      <c r="C77">
        <f>_xlfn.XLOOKUP(B77,'FPGA-SC-02033-2-0-ECP5U-25-Pino'!I:I,'FPGA-SC-02033-2-0-ECP5U-25-Pino'!C:C,"")</f>
        <v>7</v>
      </c>
      <c r="D77">
        <f t="shared" si="5"/>
        <v>0</v>
      </c>
      <c r="E77">
        <f t="shared" si="6"/>
        <v>0</v>
      </c>
      <c r="F77">
        <f>_xlfn.XLOOKUP(G77,'FPGA-SC-02033-2-0-ECP5U-25-Pino'!I:I,'FPGA-SC-02033-2-0-ECP5U-25-Pino'!C:C,"")</f>
        <v>6</v>
      </c>
      <c r="G77">
        <v>148</v>
      </c>
      <c r="H77" t="s">
        <v>120</v>
      </c>
      <c r="I77">
        <f t="shared" si="7"/>
        <v>0</v>
      </c>
    </row>
    <row r="78" spans="1:9" x14ac:dyDescent="0.25">
      <c r="A78" t="s">
        <v>121</v>
      </c>
      <c r="B78">
        <v>149</v>
      </c>
      <c r="C78">
        <f>_xlfn.XLOOKUP(B78,'FPGA-SC-02033-2-0-ECP5U-25-Pino'!I:I,'FPGA-SC-02033-2-0-ECP5U-25-Pino'!C:C,"")</f>
        <v>7</v>
      </c>
      <c r="D78">
        <f t="shared" si="5"/>
        <v>0</v>
      </c>
      <c r="E78">
        <f t="shared" si="6"/>
        <v>0</v>
      </c>
      <c r="F78">
        <f>_xlfn.XLOOKUP(G78,'FPGA-SC-02033-2-0-ECP5U-25-Pino'!I:I,'FPGA-SC-02033-2-0-ECP5U-25-Pino'!C:C,"")</f>
        <v>6</v>
      </c>
      <c r="G78">
        <v>150</v>
      </c>
      <c r="H78" t="s">
        <v>122</v>
      </c>
      <c r="I78">
        <f t="shared" si="7"/>
        <v>0</v>
      </c>
    </row>
    <row r="79" spans="1:9" x14ac:dyDescent="0.25">
      <c r="A79" t="s">
        <v>123</v>
      </c>
      <c r="B79">
        <v>151</v>
      </c>
      <c r="C79">
        <f>_xlfn.XLOOKUP(B79,'FPGA-SC-02033-2-0-ECP5U-25-Pino'!I:I,'FPGA-SC-02033-2-0-ECP5U-25-Pino'!C:C,"")</f>
        <v>7</v>
      </c>
      <c r="D79">
        <f t="shared" si="5"/>
        <v>1</v>
      </c>
      <c r="E79">
        <f t="shared" si="6"/>
        <v>0</v>
      </c>
      <c r="F79">
        <f>_xlfn.XLOOKUP(G79,'FPGA-SC-02033-2-0-ECP5U-25-Pino'!I:I,'FPGA-SC-02033-2-0-ECP5U-25-Pino'!C:C,"")</f>
        <v>7</v>
      </c>
      <c r="G79" s="1">
        <v>152</v>
      </c>
      <c r="H79" s="1" t="s">
        <v>124</v>
      </c>
      <c r="I79">
        <f t="shared" si="7"/>
        <v>1</v>
      </c>
    </row>
    <row r="80" spans="1:9" x14ac:dyDescent="0.25">
      <c r="A80" t="s">
        <v>125</v>
      </c>
      <c r="B80">
        <v>153</v>
      </c>
      <c r="C80">
        <f>_xlfn.XLOOKUP(B80,'FPGA-SC-02033-2-0-ECP5U-25-Pino'!I:I,'FPGA-SC-02033-2-0-ECP5U-25-Pino'!C:C,"")</f>
        <v>7</v>
      </c>
      <c r="D80">
        <f t="shared" si="5"/>
        <v>0</v>
      </c>
      <c r="E80">
        <f t="shared" si="6"/>
        <v>0</v>
      </c>
      <c r="F80">
        <f>_xlfn.XLOOKUP(G80,'FPGA-SC-02033-2-0-ECP5U-25-Pino'!I:I,'FPGA-SC-02033-2-0-ECP5U-25-Pino'!C:C,"")</f>
        <v>7</v>
      </c>
      <c r="G80">
        <v>154</v>
      </c>
      <c r="H80" t="s">
        <v>126</v>
      </c>
      <c r="I80">
        <f t="shared" si="7"/>
        <v>0</v>
      </c>
    </row>
    <row r="81" spans="1:9" x14ac:dyDescent="0.25">
      <c r="A81" t="s">
        <v>127</v>
      </c>
      <c r="B81">
        <v>155</v>
      </c>
      <c r="C81">
        <f>_xlfn.XLOOKUP(B81,'FPGA-SC-02033-2-0-ECP5U-25-Pino'!I:I,'FPGA-SC-02033-2-0-ECP5U-25-Pino'!C:C,"")</f>
        <v>7</v>
      </c>
      <c r="D81">
        <f t="shared" si="5"/>
        <v>1</v>
      </c>
      <c r="E81">
        <f t="shared" si="6"/>
        <v>0</v>
      </c>
      <c r="F81">
        <f>_xlfn.XLOOKUP(G81,'FPGA-SC-02033-2-0-ECP5U-25-Pino'!I:I,'FPGA-SC-02033-2-0-ECP5U-25-Pino'!C:C,"")</f>
        <v>7</v>
      </c>
      <c r="G81" s="1">
        <v>156</v>
      </c>
      <c r="H81" s="1" t="s">
        <v>128</v>
      </c>
      <c r="I81">
        <f t="shared" si="7"/>
        <v>1</v>
      </c>
    </row>
    <row r="82" spans="1:9" x14ac:dyDescent="0.25">
      <c r="A82" t="s">
        <v>4</v>
      </c>
      <c r="B82">
        <v>157</v>
      </c>
      <c r="C82" t="str">
        <f>_xlfn.XLOOKUP(B82,'FPGA-SC-02033-2-0-ECP5U-25-Pino'!I:I,'FPGA-SC-02033-2-0-ECP5U-25-Pino'!C:C,"")</f>
        <v/>
      </c>
      <c r="D82">
        <f t="shared" si="5"/>
        <v>0</v>
      </c>
      <c r="E82">
        <f t="shared" si="6"/>
        <v>0</v>
      </c>
      <c r="F82" t="str">
        <f>_xlfn.XLOOKUP(G82,'FPGA-SC-02033-2-0-ECP5U-25-Pino'!I:I,'FPGA-SC-02033-2-0-ECP5U-25-Pino'!C:C,"")</f>
        <v/>
      </c>
      <c r="G82">
        <v>158</v>
      </c>
      <c r="H82" t="s">
        <v>4</v>
      </c>
      <c r="I82">
        <f t="shared" si="7"/>
        <v>0</v>
      </c>
    </row>
    <row r="83" spans="1:9" x14ac:dyDescent="0.25">
      <c r="A83" t="s">
        <v>12</v>
      </c>
      <c r="B83">
        <v>159</v>
      </c>
      <c r="C83" t="str">
        <f>_xlfn.XLOOKUP(B83,'FPGA-SC-02033-2-0-ECP5U-25-Pino'!I:I,'FPGA-SC-02033-2-0-ECP5U-25-Pino'!C:C,"")</f>
        <v/>
      </c>
      <c r="D83">
        <f t="shared" si="5"/>
        <v>0</v>
      </c>
      <c r="E83">
        <f t="shared" si="6"/>
        <v>0</v>
      </c>
      <c r="F83" t="str">
        <f>_xlfn.XLOOKUP(G83,'FPGA-SC-02033-2-0-ECP5U-25-Pino'!I:I,'FPGA-SC-02033-2-0-ECP5U-25-Pino'!C:C,"")</f>
        <v/>
      </c>
      <c r="G83">
        <v>160</v>
      </c>
      <c r="H83" t="s">
        <v>12</v>
      </c>
      <c r="I83">
        <f t="shared" si="7"/>
        <v>0</v>
      </c>
    </row>
    <row r="84" spans="1:9" x14ac:dyDescent="0.25">
      <c r="A84" t="s">
        <v>12</v>
      </c>
      <c r="B84">
        <v>161</v>
      </c>
      <c r="C84" t="str">
        <f>_xlfn.XLOOKUP(B84,'FPGA-SC-02033-2-0-ECP5U-25-Pino'!I:I,'FPGA-SC-02033-2-0-ECP5U-25-Pino'!C:C,"")</f>
        <v/>
      </c>
      <c r="D84">
        <f t="shared" si="5"/>
        <v>0</v>
      </c>
      <c r="E84">
        <f t="shared" si="6"/>
        <v>0</v>
      </c>
      <c r="F84" t="str">
        <f>_xlfn.XLOOKUP(G84,'FPGA-SC-02033-2-0-ECP5U-25-Pino'!I:I,'FPGA-SC-02033-2-0-ECP5U-25-Pino'!C:C,"")</f>
        <v/>
      </c>
      <c r="G84">
        <v>162</v>
      </c>
      <c r="H84" t="s">
        <v>12</v>
      </c>
      <c r="I84">
        <f t="shared" si="7"/>
        <v>0</v>
      </c>
    </row>
    <row r="85" spans="1:9" x14ac:dyDescent="0.25">
      <c r="A85" t="s">
        <v>12</v>
      </c>
      <c r="B85">
        <v>163</v>
      </c>
      <c r="C85" t="str">
        <f>_xlfn.XLOOKUP(B85,'FPGA-SC-02033-2-0-ECP5U-25-Pino'!I:I,'FPGA-SC-02033-2-0-ECP5U-25-Pino'!C:C,"")</f>
        <v/>
      </c>
      <c r="D85">
        <f t="shared" si="5"/>
        <v>0</v>
      </c>
      <c r="E85">
        <f t="shared" si="6"/>
        <v>0</v>
      </c>
      <c r="F85" t="str">
        <f>_xlfn.XLOOKUP(G85,'FPGA-SC-02033-2-0-ECP5U-25-Pino'!I:I,'FPGA-SC-02033-2-0-ECP5U-25-Pino'!C:C,"")</f>
        <v/>
      </c>
      <c r="G85">
        <v>164</v>
      </c>
      <c r="H85" t="s">
        <v>12</v>
      </c>
      <c r="I85">
        <f t="shared" si="7"/>
        <v>0</v>
      </c>
    </row>
    <row r="86" spans="1:9" x14ac:dyDescent="0.25">
      <c r="A86" t="s">
        <v>12</v>
      </c>
      <c r="B86">
        <v>165</v>
      </c>
      <c r="C86" t="str">
        <f>_xlfn.XLOOKUP(B86,'FPGA-SC-02033-2-0-ECP5U-25-Pino'!I:I,'FPGA-SC-02033-2-0-ECP5U-25-Pino'!C:C,"")</f>
        <v/>
      </c>
      <c r="D86">
        <f t="shared" si="5"/>
        <v>0</v>
      </c>
      <c r="E86">
        <f t="shared" si="6"/>
        <v>0</v>
      </c>
      <c r="F86" t="str">
        <f>_xlfn.XLOOKUP(G86,'FPGA-SC-02033-2-0-ECP5U-25-Pino'!I:I,'FPGA-SC-02033-2-0-ECP5U-25-Pino'!C:C,"")</f>
        <v/>
      </c>
      <c r="G86">
        <v>166</v>
      </c>
      <c r="H86" t="s">
        <v>12</v>
      </c>
      <c r="I86">
        <f t="shared" si="7"/>
        <v>0</v>
      </c>
    </row>
    <row r="87" spans="1:9" x14ac:dyDescent="0.25">
      <c r="A87" t="s">
        <v>12</v>
      </c>
      <c r="B87">
        <v>167</v>
      </c>
      <c r="C87" t="str">
        <f>_xlfn.XLOOKUP(B87,'FPGA-SC-02033-2-0-ECP5U-25-Pino'!I:I,'FPGA-SC-02033-2-0-ECP5U-25-Pino'!C:C,"")</f>
        <v/>
      </c>
      <c r="D87">
        <f t="shared" si="5"/>
        <v>0</v>
      </c>
      <c r="E87">
        <f t="shared" si="6"/>
        <v>0</v>
      </c>
      <c r="F87" t="str">
        <f>_xlfn.XLOOKUP(G87,'FPGA-SC-02033-2-0-ECP5U-25-Pino'!I:I,'FPGA-SC-02033-2-0-ECP5U-25-Pino'!C:C,"")</f>
        <v/>
      </c>
      <c r="G87">
        <v>168</v>
      </c>
      <c r="H87" t="s">
        <v>12</v>
      </c>
      <c r="I87">
        <f t="shared" si="7"/>
        <v>0</v>
      </c>
    </row>
    <row r="88" spans="1:9" x14ac:dyDescent="0.25">
      <c r="A88" t="s">
        <v>12</v>
      </c>
      <c r="B88">
        <v>169</v>
      </c>
      <c r="C88" t="str">
        <f>_xlfn.XLOOKUP(B88,'FPGA-SC-02033-2-0-ECP5U-25-Pino'!I:I,'FPGA-SC-02033-2-0-ECP5U-25-Pino'!C:C,"")</f>
        <v/>
      </c>
      <c r="D88">
        <f t="shared" si="5"/>
        <v>0</v>
      </c>
      <c r="E88">
        <f t="shared" si="6"/>
        <v>0</v>
      </c>
      <c r="F88" t="str">
        <f>_xlfn.XLOOKUP(G88,'FPGA-SC-02033-2-0-ECP5U-25-Pino'!I:I,'FPGA-SC-02033-2-0-ECP5U-25-Pino'!C:C,"")</f>
        <v/>
      </c>
      <c r="G88">
        <v>170</v>
      </c>
      <c r="H88" t="s">
        <v>12</v>
      </c>
      <c r="I88">
        <f t="shared" si="7"/>
        <v>0</v>
      </c>
    </row>
    <row r="89" spans="1:9" x14ac:dyDescent="0.25">
      <c r="A89" t="s">
        <v>12</v>
      </c>
      <c r="B89">
        <v>171</v>
      </c>
      <c r="C89" t="str">
        <f>_xlfn.XLOOKUP(B89,'FPGA-SC-02033-2-0-ECP5U-25-Pino'!I:I,'FPGA-SC-02033-2-0-ECP5U-25-Pino'!C:C,"")</f>
        <v/>
      </c>
      <c r="D89">
        <f t="shared" ref="D89:D103" si="8">COUNTIF(K:K,A89)</f>
        <v>0</v>
      </c>
      <c r="E89">
        <f t="shared" ref="E89:E103" si="9">COUNTIF(K:K,H89)</f>
        <v>0</v>
      </c>
      <c r="F89" t="str">
        <f>_xlfn.XLOOKUP(G89,'FPGA-SC-02033-2-0-ECP5U-25-Pino'!I:I,'FPGA-SC-02033-2-0-ECP5U-25-Pino'!C:C,"")</f>
        <v/>
      </c>
      <c r="G89">
        <v>172</v>
      </c>
      <c r="H89" t="s">
        <v>12</v>
      </c>
      <c r="I89">
        <f t="shared" si="7"/>
        <v>0</v>
      </c>
    </row>
    <row r="90" spans="1:9" x14ac:dyDescent="0.25">
      <c r="A90" t="s">
        <v>12</v>
      </c>
      <c r="B90">
        <v>173</v>
      </c>
      <c r="C90" t="str">
        <f>_xlfn.XLOOKUP(B90,'FPGA-SC-02033-2-0-ECP5U-25-Pino'!I:I,'FPGA-SC-02033-2-0-ECP5U-25-Pino'!C:C,"")</f>
        <v/>
      </c>
      <c r="D90">
        <f t="shared" si="8"/>
        <v>0</v>
      </c>
      <c r="E90">
        <f t="shared" si="9"/>
        <v>0</v>
      </c>
      <c r="F90" t="str">
        <f>_xlfn.XLOOKUP(G90,'FPGA-SC-02033-2-0-ECP5U-25-Pino'!I:I,'FPGA-SC-02033-2-0-ECP5U-25-Pino'!C:C,"")</f>
        <v/>
      </c>
      <c r="G90">
        <v>174</v>
      </c>
      <c r="H90" t="s">
        <v>12</v>
      </c>
      <c r="I90">
        <f t="shared" si="7"/>
        <v>0</v>
      </c>
    </row>
    <row r="91" spans="1:9" x14ac:dyDescent="0.25">
      <c r="A91" t="s">
        <v>12</v>
      </c>
      <c r="B91">
        <v>175</v>
      </c>
      <c r="C91" t="str">
        <f>_xlfn.XLOOKUP(B91,'FPGA-SC-02033-2-0-ECP5U-25-Pino'!I:I,'FPGA-SC-02033-2-0-ECP5U-25-Pino'!C:C,"")</f>
        <v/>
      </c>
      <c r="D91">
        <f t="shared" si="8"/>
        <v>0</v>
      </c>
      <c r="E91">
        <f t="shared" si="9"/>
        <v>0</v>
      </c>
      <c r="F91" t="str">
        <f>_xlfn.XLOOKUP(G91,'FPGA-SC-02033-2-0-ECP5U-25-Pino'!I:I,'FPGA-SC-02033-2-0-ECP5U-25-Pino'!C:C,"")</f>
        <v/>
      </c>
      <c r="G91">
        <v>176</v>
      </c>
      <c r="H91" t="s">
        <v>12</v>
      </c>
      <c r="I91">
        <f t="shared" si="7"/>
        <v>0</v>
      </c>
    </row>
    <row r="92" spans="1:9" x14ac:dyDescent="0.25">
      <c r="A92" t="s">
        <v>12</v>
      </c>
      <c r="B92">
        <v>177</v>
      </c>
      <c r="C92" t="str">
        <f>_xlfn.XLOOKUP(B92,'FPGA-SC-02033-2-0-ECP5U-25-Pino'!I:I,'FPGA-SC-02033-2-0-ECP5U-25-Pino'!C:C,"")</f>
        <v/>
      </c>
      <c r="D92">
        <f t="shared" si="8"/>
        <v>0</v>
      </c>
      <c r="E92">
        <f t="shared" si="9"/>
        <v>0</v>
      </c>
      <c r="F92" t="str">
        <f>_xlfn.XLOOKUP(G92,'FPGA-SC-02033-2-0-ECP5U-25-Pino'!I:I,'FPGA-SC-02033-2-0-ECP5U-25-Pino'!C:C,"")</f>
        <v/>
      </c>
      <c r="G92">
        <v>178</v>
      </c>
      <c r="H92" t="s">
        <v>12</v>
      </c>
      <c r="I92">
        <f t="shared" si="7"/>
        <v>0</v>
      </c>
    </row>
    <row r="93" spans="1:9" x14ac:dyDescent="0.25">
      <c r="A93" t="s">
        <v>12</v>
      </c>
      <c r="B93">
        <v>179</v>
      </c>
      <c r="C93" t="str">
        <f>_xlfn.XLOOKUP(B93,'FPGA-SC-02033-2-0-ECP5U-25-Pino'!I:I,'FPGA-SC-02033-2-0-ECP5U-25-Pino'!C:C,"")</f>
        <v/>
      </c>
      <c r="D93">
        <f t="shared" si="8"/>
        <v>0</v>
      </c>
      <c r="E93">
        <f t="shared" si="9"/>
        <v>0</v>
      </c>
      <c r="F93" t="str">
        <f>_xlfn.XLOOKUP(G93,'FPGA-SC-02033-2-0-ECP5U-25-Pino'!I:I,'FPGA-SC-02033-2-0-ECP5U-25-Pino'!C:C,"")</f>
        <v/>
      </c>
      <c r="G93">
        <v>180</v>
      </c>
      <c r="H93" t="s">
        <v>12</v>
      </c>
      <c r="I93">
        <f t="shared" si="7"/>
        <v>0</v>
      </c>
    </row>
    <row r="94" spans="1:9" x14ac:dyDescent="0.25">
      <c r="A94" t="s">
        <v>12</v>
      </c>
      <c r="B94">
        <v>181</v>
      </c>
      <c r="C94" t="str">
        <f>_xlfn.XLOOKUP(B94,'FPGA-SC-02033-2-0-ECP5U-25-Pino'!I:I,'FPGA-SC-02033-2-0-ECP5U-25-Pino'!C:C,"")</f>
        <v/>
      </c>
      <c r="D94">
        <f t="shared" si="8"/>
        <v>0</v>
      </c>
      <c r="E94">
        <f t="shared" si="9"/>
        <v>0</v>
      </c>
      <c r="F94" t="str">
        <f>_xlfn.XLOOKUP(G94,'FPGA-SC-02033-2-0-ECP5U-25-Pino'!I:I,'FPGA-SC-02033-2-0-ECP5U-25-Pino'!C:C,"")</f>
        <v/>
      </c>
      <c r="G94">
        <v>182</v>
      </c>
      <c r="H94" t="s">
        <v>12</v>
      </c>
      <c r="I94">
        <f t="shared" si="7"/>
        <v>0</v>
      </c>
    </row>
    <row r="95" spans="1:9" x14ac:dyDescent="0.25">
      <c r="A95" t="s">
        <v>12</v>
      </c>
      <c r="B95">
        <v>183</v>
      </c>
      <c r="C95" t="str">
        <f>_xlfn.XLOOKUP(B95,'FPGA-SC-02033-2-0-ECP5U-25-Pino'!I:I,'FPGA-SC-02033-2-0-ECP5U-25-Pino'!C:C,"")</f>
        <v/>
      </c>
      <c r="D95">
        <f t="shared" si="8"/>
        <v>0</v>
      </c>
      <c r="E95">
        <f t="shared" si="9"/>
        <v>0</v>
      </c>
      <c r="F95" t="str">
        <f>_xlfn.XLOOKUP(G95,'FPGA-SC-02033-2-0-ECP5U-25-Pino'!I:I,'FPGA-SC-02033-2-0-ECP5U-25-Pino'!C:C,"")</f>
        <v/>
      </c>
      <c r="G95">
        <v>184</v>
      </c>
      <c r="H95" t="s">
        <v>12</v>
      </c>
      <c r="I95">
        <f t="shared" si="7"/>
        <v>0</v>
      </c>
    </row>
    <row r="96" spans="1:9" x14ac:dyDescent="0.25">
      <c r="A96" t="s">
        <v>12</v>
      </c>
      <c r="B96">
        <v>185</v>
      </c>
      <c r="C96" t="str">
        <f>_xlfn.XLOOKUP(B96,'FPGA-SC-02033-2-0-ECP5U-25-Pino'!I:I,'FPGA-SC-02033-2-0-ECP5U-25-Pino'!C:C,"")</f>
        <v/>
      </c>
      <c r="D96">
        <f t="shared" si="8"/>
        <v>0</v>
      </c>
      <c r="E96">
        <f t="shared" si="9"/>
        <v>0</v>
      </c>
      <c r="F96" t="str">
        <f>_xlfn.XLOOKUP(G96,'FPGA-SC-02033-2-0-ECP5U-25-Pino'!I:I,'FPGA-SC-02033-2-0-ECP5U-25-Pino'!C:C,"")</f>
        <v/>
      </c>
      <c r="G96">
        <v>186</v>
      </c>
      <c r="H96" t="s">
        <v>12</v>
      </c>
      <c r="I96">
        <f t="shared" si="7"/>
        <v>0</v>
      </c>
    </row>
    <row r="97" spans="1:9" x14ac:dyDescent="0.25">
      <c r="A97" t="s">
        <v>12</v>
      </c>
      <c r="B97">
        <v>187</v>
      </c>
      <c r="C97" t="str">
        <f>_xlfn.XLOOKUP(B97,'FPGA-SC-02033-2-0-ECP5U-25-Pino'!I:I,'FPGA-SC-02033-2-0-ECP5U-25-Pino'!C:C,"")</f>
        <v/>
      </c>
      <c r="D97">
        <f t="shared" si="8"/>
        <v>0</v>
      </c>
      <c r="E97">
        <f t="shared" si="9"/>
        <v>0</v>
      </c>
      <c r="F97" t="str">
        <f>_xlfn.XLOOKUP(G97,'FPGA-SC-02033-2-0-ECP5U-25-Pino'!I:I,'FPGA-SC-02033-2-0-ECP5U-25-Pino'!C:C,"")</f>
        <v/>
      </c>
      <c r="G97">
        <v>188</v>
      </c>
      <c r="H97" t="s">
        <v>12</v>
      </c>
      <c r="I97">
        <f t="shared" si="7"/>
        <v>0</v>
      </c>
    </row>
    <row r="98" spans="1:9" x14ac:dyDescent="0.25">
      <c r="A98" t="s">
        <v>12</v>
      </c>
      <c r="B98">
        <v>189</v>
      </c>
      <c r="C98" t="str">
        <f>_xlfn.XLOOKUP(B98,'FPGA-SC-02033-2-0-ECP5U-25-Pino'!I:I,'FPGA-SC-02033-2-0-ECP5U-25-Pino'!C:C,"")</f>
        <v/>
      </c>
      <c r="D98">
        <f t="shared" si="8"/>
        <v>0</v>
      </c>
      <c r="E98">
        <f t="shared" si="9"/>
        <v>0</v>
      </c>
      <c r="F98" t="str">
        <f>_xlfn.XLOOKUP(G98,'FPGA-SC-02033-2-0-ECP5U-25-Pino'!I:I,'FPGA-SC-02033-2-0-ECP5U-25-Pino'!C:C,"")</f>
        <v/>
      </c>
      <c r="G98">
        <v>190</v>
      </c>
      <c r="H98" t="s">
        <v>12</v>
      </c>
      <c r="I98">
        <f t="shared" si="7"/>
        <v>0</v>
      </c>
    </row>
    <row r="99" spans="1:9" x14ac:dyDescent="0.25">
      <c r="A99" t="s">
        <v>12</v>
      </c>
      <c r="B99">
        <v>191</v>
      </c>
      <c r="C99" t="str">
        <f>_xlfn.XLOOKUP(B99,'FPGA-SC-02033-2-0-ECP5U-25-Pino'!I:I,'FPGA-SC-02033-2-0-ECP5U-25-Pino'!C:C,"")</f>
        <v/>
      </c>
      <c r="D99">
        <f t="shared" si="8"/>
        <v>0</v>
      </c>
      <c r="E99">
        <f t="shared" si="9"/>
        <v>0</v>
      </c>
      <c r="F99" t="str">
        <f>_xlfn.XLOOKUP(G99,'FPGA-SC-02033-2-0-ECP5U-25-Pino'!I:I,'FPGA-SC-02033-2-0-ECP5U-25-Pino'!C:C,"")</f>
        <v/>
      </c>
      <c r="G99">
        <v>192</v>
      </c>
      <c r="H99" t="s">
        <v>12</v>
      </c>
      <c r="I99">
        <f t="shared" si="7"/>
        <v>0</v>
      </c>
    </row>
    <row r="100" spans="1:9" x14ac:dyDescent="0.25">
      <c r="A100" t="s">
        <v>12</v>
      </c>
      <c r="B100">
        <v>193</v>
      </c>
      <c r="C100" t="str">
        <f>_xlfn.XLOOKUP(B100,'FPGA-SC-02033-2-0-ECP5U-25-Pino'!I:I,'FPGA-SC-02033-2-0-ECP5U-25-Pino'!C:C,"")</f>
        <v/>
      </c>
      <c r="D100">
        <f t="shared" si="8"/>
        <v>0</v>
      </c>
      <c r="E100">
        <f t="shared" si="9"/>
        <v>0</v>
      </c>
      <c r="F100" t="str">
        <f>_xlfn.XLOOKUP(G100,'FPGA-SC-02033-2-0-ECP5U-25-Pino'!I:I,'FPGA-SC-02033-2-0-ECP5U-25-Pino'!C:C,"")</f>
        <v/>
      </c>
      <c r="G100">
        <v>194</v>
      </c>
      <c r="H100" t="s">
        <v>12</v>
      </c>
      <c r="I100">
        <f t="shared" si="7"/>
        <v>0</v>
      </c>
    </row>
    <row r="101" spans="1:9" x14ac:dyDescent="0.25">
      <c r="A101" t="s">
        <v>12</v>
      </c>
      <c r="B101">
        <v>195</v>
      </c>
      <c r="C101" t="str">
        <f>_xlfn.XLOOKUP(B101,'FPGA-SC-02033-2-0-ECP5U-25-Pino'!I:I,'FPGA-SC-02033-2-0-ECP5U-25-Pino'!C:C,"")</f>
        <v/>
      </c>
      <c r="D101">
        <f t="shared" si="8"/>
        <v>0</v>
      </c>
      <c r="E101">
        <f t="shared" si="9"/>
        <v>0</v>
      </c>
      <c r="F101" t="str">
        <f>_xlfn.XLOOKUP(G101,'FPGA-SC-02033-2-0-ECP5U-25-Pino'!I:I,'FPGA-SC-02033-2-0-ECP5U-25-Pino'!C:C,"")</f>
        <v/>
      </c>
      <c r="G101">
        <v>196</v>
      </c>
      <c r="H101" t="s">
        <v>12</v>
      </c>
      <c r="I101">
        <f t="shared" si="7"/>
        <v>0</v>
      </c>
    </row>
    <row r="102" spans="1:9" x14ac:dyDescent="0.25">
      <c r="A102" t="s">
        <v>12</v>
      </c>
      <c r="B102">
        <v>197</v>
      </c>
      <c r="C102" t="str">
        <f>_xlfn.XLOOKUP(B102,'FPGA-SC-02033-2-0-ECP5U-25-Pino'!I:I,'FPGA-SC-02033-2-0-ECP5U-25-Pino'!C:C,"")</f>
        <v/>
      </c>
      <c r="D102">
        <f t="shared" si="8"/>
        <v>0</v>
      </c>
      <c r="E102">
        <f t="shared" si="9"/>
        <v>0</v>
      </c>
      <c r="F102" t="str">
        <f>_xlfn.XLOOKUP(G102,'FPGA-SC-02033-2-0-ECP5U-25-Pino'!I:I,'FPGA-SC-02033-2-0-ECP5U-25-Pino'!C:C,"")</f>
        <v/>
      </c>
      <c r="G102">
        <v>198</v>
      </c>
      <c r="H102" t="s">
        <v>12</v>
      </c>
      <c r="I102">
        <f t="shared" si="7"/>
        <v>0</v>
      </c>
    </row>
    <row r="103" spans="1:9" x14ac:dyDescent="0.25">
      <c r="A103" t="s">
        <v>4</v>
      </c>
      <c r="B103">
        <v>199</v>
      </c>
      <c r="C103" t="str">
        <f>_xlfn.XLOOKUP(B103,'FPGA-SC-02033-2-0-ECP5U-25-Pino'!I:I,'FPGA-SC-02033-2-0-ECP5U-25-Pino'!C:C,"")</f>
        <v/>
      </c>
      <c r="D103">
        <f t="shared" si="8"/>
        <v>0</v>
      </c>
      <c r="E103">
        <f t="shared" si="9"/>
        <v>0</v>
      </c>
      <c r="F103" t="str">
        <f>_xlfn.XLOOKUP(G103,'FPGA-SC-02033-2-0-ECP5U-25-Pino'!I:I,'FPGA-SC-02033-2-0-ECP5U-25-Pino'!C:C,"")</f>
        <v/>
      </c>
      <c r="G103">
        <v>200</v>
      </c>
      <c r="H103" t="s">
        <v>4</v>
      </c>
      <c r="I103">
        <f t="shared" si="7"/>
        <v>0</v>
      </c>
    </row>
  </sheetData>
  <autoFilter ref="A1:I103" xr:uid="{09005E7A-08C8-4DDF-A827-0815EF59A873}"/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76CA-BD86-41E2-9ECE-DED3F1DCC7CA}">
  <sheetPr filterMode="1"/>
  <dimension ref="A1:K693"/>
  <sheetViews>
    <sheetView tabSelected="1" workbookViewId="0">
      <pane ySplit="7" topLeftCell="A214" activePane="bottomLeft" state="frozen"/>
      <selection pane="bottomLeft" activeCell="C287" sqref="C287:C289"/>
    </sheetView>
  </sheetViews>
  <sheetFormatPr defaultRowHeight="15" x14ac:dyDescent="0.25"/>
  <cols>
    <col min="1" max="1" width="6.85546875" bestFit="1" customWidth="1"/>
    <col min="2" max="2" width="18.5703125" bestFit="1" customWidth="1"/>
    <col min="3" max="3" width="7.7109375" bestFit="1" customWidth="1"/>
    <col min="4" max="4" width="26.85546875" bestFit="1" customWidth="1"/>
    <col min="5" max="5" width="15.85546875" customWidth="1"/>
    <col min="6" max="6" width="13" customWidth="1"/>
    <col min="7" max="7" width="9.28515625" customWidth="1"/>
    <col min="8" max="8" width="12.140625" bestFit="1" customWidth="1"/>
    <col min="9" max="9" width="12.42578125" customWidth="1"/>
  </cols>
  <sheetData>
    <row r="1" spans="1:9" x14ac:dyDescent="0.25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hidden="1" x14ac:dyDescent="0.25">
      <c r="A2">
        <v>1</v>
      </c>
      <c r="B2" t="s">
        <v>138</v>
      </c>
      <c r="C2">
        <v>7</v>
      </c>
      <c r="D2" t="s">
        <v>139</v>
      </c>
      <c r="E2" t="s">
        <v>140</v>
      </c>
      <c r="F2" t="b">
        <v>1</v>
      </c>
      <c r="G2" t="s">
        <v>141</v>
      </c>
      <c r="H2" t="s">
        <v>142</v>
      </c>
      <c r="I2" t="str">
        <f>_xlfn.XLOOKUP(H2,'SO-DIMM-i5'!A:A,'SO-DIMM-i5'!B:B,_xlfn.XLOOKUP(H2,'SO-DIMM-i5'!H:H,'SO-DIMM-i5'!G:G,""))</f>
        <v/>
      </c>
    </row>
    <row r="3" spans="1:9" hidden="1" x14ac:dyDescent="0.25">
      <c r="A3">
        <v>2</v>
      </c>
      <c r="B3" t="s">
        <v>143</v>
      </c>
      <c r="C3">
        <v>7</v>
      </c>
      <c r="D3" t="s">
        <v>139</v>
      </c>
      <c r="E3" t="s">
        <v>144</v>
      </c>
      <c r="F3" t="b">
        <v>1</v>
      </c>
      <c r="G3" t="s">
        <v>141</v>
      </c>
      <c r="H3" t="s">
        <v>145</v>
      </c>
      <c r="I3" t="str">
        <f>_xlfn.XLOOKUP(H3,'SO-DIMM-i5'!A:A,'SO-DIMM-i5'!B:B,_xlfn.XLOOKUP(H3,'SO-DIMM-i5'!H:H,'SO-DIMM-i5'!G:G,""))</f>
        <v/>
      </c>
    </row>
    <row r="4" spans="1:9" hidden="1" x14ac:dyDescent="0.25">
      <c r="A4">
        <v>3</v>
      </c>
      <c r="B4" t="s">
        <v>146</v>
      </c>
      <c r="C4" t="s">
        <v>139</v>
      </c>
      <c r="D4" t="s">
        <v>139</v>
      </c>
      <c r="E4" t="s">
        <v>139</v>
      </c>
      <c r="F4" t="s">
        <v>139</v>
      </c>
      <c r="G4" t="s">
        <v>139</v>
      </c>
      <c r="H4" t="s">
        <v>139</v>
      </c>
      <c r="I4" t="str">
        <f>_xlfn.XLOOKUP(H4,'SO-DIMM-i5'!A:A,'SO-DIMM-i5'!B:B,_xlfn.XLOOKUP(H4,'SO-DIMM-i5'!H:H,'SO-DIMM-i5'!G:G,""))</f>
        <v/>
      </c>
    </row>
    <row r="5" spans="1:9" hidden="1" x14ac:dyDescent="0.25">
      <c r="A5">
        <v>4</v>
      </c>
      <c r="B5" t="s">
        <v>147</v>
      </c>
      <c r="C5">
        <v>7</v>
      </c>
      <c r="D5" t="s">
        <v>139</v>
      </c>
      <c r="E5" t="s">
        <v>148</v>
      </c>
      <c r="F5" t="s">
        <v>139</v>
      </c>
      <c r="G5" t="s">
        <v>141</v>
      </c>
      <c r="H5" t="s">
        <v>149</v>
      </c>
      <c r="I5" t="str">
        <f>_xlfn.XLOOKUP(H5,'SO-DIMM-i5'!A:A,'SO-DIMM-i5'!B:B,_xlfn.XLOOKUP(H5,'SO-DIMM-i5'!H:H,'SO-DIMM-i5'!G:G,""))</f>
        <v/>
      </c>
    </row>
    <row r="6" spans="1:9" hidden="1" x14ac:dyDescent="0.25">
      <c r="A6">
        <v>5</v>
      </c>
      <c r="B6" t="s">
        <v>150</v>
      </c>
      <c r="C6" t="s">
        <v>139</v>
      </c>
      <c r="D6" t="s">
        <v>139</v>
      </c>
      <c r="E6" t="s">
        <v>139</v>
      </c>
      <c r="F6" t="s">
        <v>139</v>
      </c>
      <c r="G6" t="s">
        <v>139</v>
      </c>
      <c r="H6" t="s">
        <v>139</v>
      </c>
      <c r="I6" t="str">
        <f>_xlfn.XLOOKUP(H6,'SO-DIMM-i5'!A:A,'SO-DIMM-i5'!B:B,_xlfn.XLOOKUP(H6,'SO-DIMM-i5'!H:H,'SO-DIMM-i5'!G:G,""))</f>
        <v/>
      </c>
    </row>
    <row r="7" spans="1:9" hidden="1" x14ac:dyDescent="0.25">
      <c r="A7">
        <v>6</v>
      </c>
      <c r="B7" t="s">
        <v>151</v>
      </c>
      <c r="C7">
        <v>7</v>
      </c>
      <c r="D7" t="s">
        <v>139</v>
      </c>
      <c r="E7" t="s">
        <v>152</v>
      </c>
      <c r="F7" t="s">
        <v>139</v>
      </c>
      <c r="G7" t="s">
        <v>141</v>
      </c>
      <c r="H7" t="s">
        <v>153</v>
      </c>
      <c r="I7" t="str">
        <f>_xlfn.XLOOKUP(H7,'SO-DIMM-i5'!A:A,'SO-DIMM-i5'!B:B,_xlfn.XLOOKUP(H7,'SO-DIMM-i5'!H:H,'SO-DIMM-i5'!G:G,""))</f>
        <v/>
      </c>
    </row>
    <row r="8" spans="1:9" x14ac:dyDescent="0.25">
      <c r="A8">
        <v>7</v>
      </c>
      <c r="B8" t="s">
        <v>154</v>
      </c>
      <c r="C8">
        <v>7</v>
      </c>
      <c r="D8" t="s">
        <v>139</v>
      </c>
      <c r="E8" t="s">
        <v>155</v>
      </c>
      <c r="F8" t="b">
        <v>1</v>
      </c>
      <c r="G8" t="s">
        <v>141</v>
      </c>
      <c r="H8" t="s">
        <v>107</v>
      </c>
      <c r="I8">
        <f>_xlfn.XLOOKUP(H8,'SO-DIMM-i5'!A:A,'SO-DIMM-i5'!B:B,_xlfn.XLOOKUP(H8,'SO-DIMM-i5'!H:H,'SO-DIMM-i5'!G:G,""))</f>
        <v>131</v>
      </c>
    </row>
    <row r="9" spans="1:9" hidden="1" x14ac:dyDescent="0.25">
      <c r="A9">
        <v>8</v>
      </c>
      <c r="B9" t="s">
        <v>156</v>
      </c>
      <c r="C9" t="s">
        <v>139</v>
      </c>
      <c r="D9" t="s">
        <v>139</v>
      </c>
      <c r="E9" t="s">
        <v>139</v>
      </c>
      <c r="F9" t="s">
        <v>139</v>
      </c>
      <c r="G9" t="s">
        <v>139</v>
      </c>
      <c r="H9" t="s">
        <v>139</v>
      </c>
      <c r="I9" t="str">
        <f>_xlfn.XLOOKUP(H9,'SO-DIMM-i5'!A:A,'SO-DIMM-i5'!B:B,_xlfn.XLOOKUP(H9,'SO-DIMM-i5'!H:H,'SO-DIMM-i5'!G:G,""))</f>
        <v/>
      </c>
    </row>
    <row r="10" spans="1:9" x14ac:dyDescent="0.25">
      <c r="A10">
        <v>9</v>
      </c>
      <c r="B10" t="s">
        <v>157</v>
      </c>
      <c r="C10">
        <v>7</v>
      </c>
      <c r="D10" t="s">
        <v>139</v>
      </c>
      <c r="E10" t="s">
        <v>158</v>
      </c>
      <c r="F10" t="s">
        <v>139</v>
      </c>
      <c r="G10" t="s">
        <v>141</v>
      </c>
      <c r="H10" t="s">
        <v>112</v>
      </c>
      <c r="I10">
        <f>_xlfn.XLOOKUP(H10,'SO-DIMM-i5'!A:A,'SO-DIMM-i5'!B:B,_xlfn.XLOOKUP(H10,'SO-DIMM-i5'!H:H,'SO-DIMM-i5'!G:G,""))</f>
        <v>139</v>
      </c>
    </row>
    <row r="11" spans="1:9" x14ac:dyDescent="0.25">
      <c r="A11">
        <v>10</v>
      </c>
      <c r="B11" t="s">
        <v>159</v>
      </c>
      <c r="C11">
        <v>7</v>
      </c>
      <c r="D11" t="s">
        <v>139</v>
      </c>
      <c r="E11" t="s">
        <v>160</v>
      </c>
      <c r="F11" t="b">
        <v>1</v>
      </c>
      <c r="G11" t="s">
        <v>141</v>
      </c>
      <c r="H11" t="s">
        <v>108</v>
      </c>
      <c r="I11">
        <f>_xlfn.XLOOKUP(H11,'SO-DIMM-i5'!A:A,'SO-DIMM-i5'!B:B,_xlfn.XLOOKUP(H11,'SO-DIMM-i5'!H:H,'SO-DIMM-i5'!G:G,""))</f>
        <v>133</v>
      </c>
    </row>
    <row r="12" spans="1:9" hidden="1" x14ac:dyDescent="0.25">
      <c r="A12">
        <v>11</v>
      </c>
      <c r="B12" t="s">
        <v>161</v>
      </c>
      <c r="C12" t="s">
        <v>139</v>
      </c>
      <c r="D12" t="s">
        <v>139</v>
      </c>
      <c r="E12" t="s">
        <v>139</v>
      </c>
      <c r="F12" t="s">
        <v>139</v>
      </c>
      <c r="G12" t="s">
        <v>139</v>
      </c>
      <c r="H12" t="s">
        <v>139</v>
      </c>
      <c r="I12" t="str">
        <f>_xlfn.XLOOKUP(H12,'SO-DIMM-i5'!A:A,'SO-DIMM-i5'!B:B,_xlfn.XLOOKUP(H12,'SO-DIMM-i5'!H:H,'SO-DIMM-i5'!G:G,""))</f>
        <v/>
      </c>
    </row>
    <row r="13" spans="1:9" x14ac:dyDescent="0.25">
      <c r="A13">
        <v>12</v>
      </c>
      <c r="B13" t="s">
        <v>162</v>
      </c>
      <c r="C13">
        <v>7</v>
      </c>
      <c r="D13" t="s">
        <v>139</v>
      </c>
      <c r="E13" t="s">
        <v>163</v>
      </c>
      <c r="F13" t="s">
        <v>139</v>
      </c>
      <c r="G13" t="s">
        <v>141</v>
      </c>
      <c r="H13" t="s">
        <v>124</v>
      </c>
      <c r="I13">
        <f>_xlfn.XLOOKUP(H13,'SO-DIMM-i5'!A:A,'SO-DIMM-i5'!B:B,_xlfn.XLOOKUP(H13,'SO-DIMM-i5'!H:H,'SO-DIMM-i5'!G:G,""))</f>
        <v>152</v>
      </c>
    </row>
    <row r="14" spans="1:9" x14ac:dyDescent="0.25">
      <c r="A14">
        <v>13</v>
      </c>
      <c r="B14" t="s">
        <v>164</v>
      </c>
      <c r="C14">
        <v>7</v>
      </c>
      <c r="D14" t="s">
        <v>139</v>
      </c>
      <c r="E14" t="s">
        <v>165</v>
      </c>
      <c r="F14" t="b">
        <v>1</v>
      </c>
      <c r="G14" t="s">
        <v>166</v>
      </c>
      <c r="H14" t="s">
        <v>105</v>
      </c>
      <c r="I14">
        <f>_xlfn.XLOOKUP(H14,'SO-DIMM-i5'!A:A,'SO-DIMM-i5'!B:B,_xlfn.XLOOKUP(H14,'SO-DIMM-i5'!H:H,'SO-DIMM-i5'!G:G,""))</f>
        <v>128</v>
      </c>
    </row>
    <row r="15" spans="1:9" hidden="1" x14ac:dyDescent="0.25">
      <c r="A15">
        <v>14</v>
      </c>
      <c r="B15" t="s">
        <v>167</v>
      </c>
      <c r="C15" t="s">
        <v>139</v>
      </c>
      <c r="D15" t="s">
        <v>139</v>
      </c>
      <c r="E15" t="s">
        <v>139</v>
      </c>
      <c r="F15" t="s">
        <v>139</v>
      </c>
      <c r="G15" t="s">
        <v>139</v>
      </c>
      <c r="H15" t="s">
        <v>139</v>
      </c>
      <c r="I15" t="str">
        <f>_xlfn.XLOOKUP(H15,'SO-DIMM-i5'!A:A,'SO-DIMM-i5'!B:B,_xlfn.XLOOKUP(H15,'SO-DIMM-i5'!H:H,'SO-DIMM-i5'!G:G,""))</f>
        <v/>
      </c>
    </row>
    <row r="16" spans="1:9" x14ac:dyDescent="0.25">
      <c r="A16">
        <v>15</v>
      </c>
      <c r="B16" t="s">
        <v>168</v>
      </c>
      <c r="C16">
        <v>7</v>
      </c>
      <c r="D16" t="s">
        <v>139</v>
      </c>
      <c r="E16" t="s">
        <v>169</v>
      </c>
      <c r="F16" t="s">
        <v>139</v>
      </c>
      <c r="G16" t="s">
        <v>141</v>
      </c>
      <c r="H16" t="s">
        <v>109</v>
      </c>
      <c r="I16">
        <f>_xlfn.XLOOKUP(H16,'SO-DIMM-i5'!A:A,'SO-DIMM-i5'!B:B,_xlfn.XLOOKUP(H16,'SO-DIMM-i5'!H:H,'SO-DIMM-i5'!G:G,""))</f>
        <v>135</v>
      </c>
    </row>
    <row r="17" spans="1:9" hidden="1" x14ac:dyDescent="0.25">
      <c r="A17">
        <v>16</v>
      </c>
      <c r="B17" t="s">
        <v>170</v>
      </c>
      <c r="C17">
        <v>7</v>
      </c>
      <c r="D17" t="s">
        <v>139</v>
      </c>
      <c r="E17" t="s">
        <v>171</v>
      </c>
      <c r="F17" t="b">
        <v>1</v>
      </c>
      <c r="G17" t="s">
        <v>172</v>
      </c>
      <c r="H17" t="s">
        <v>173</v>
      </c>
      <c r="I17" t="str">
        <f>_xlfn.XLOOKUP(H17,'SO-DIMM-i5'!A:A,'SO-DIMM-i5'!B:B,_xlfn.XLOOKUP(H17,'SO-DIMM-i5'!H:H,'SO-DIMM-i5'!G:G,""))</f>
        <v/>
      </c>
    </row>
    <row r="18" spans="1:9" hidden="1" x14ac:dyDescent="0.25">
      <c r="A18">
        <v>17</v>
      </c>
      <c r="B18" t="s">
        <v>161</v>
      </c>
      <c r="C18" t="s">
        <v>139</v>
      </c>
      <c r="D18" t="s">
        <v>139</v>
      </c>
      <c r="E18" t="s">
        <v>139</v>
      </c>
      <c r="F18" t="s">
        <v>139</v>
      </c>
      <c r="G18" t="s">
        <v>139</v>
      </c>
      <c r="H18" t="s">
        <v>139</v>
      </c>
      <c r="I18" t="str">
        <f>_xlfn.XLOOKUP(H18,'SO-DIMM-i5'!A:A,'SO-DIMM-i5'!B:B,_xlfn.XLOOKUP(H18,'SO-DIMM-i5'!H:H,'SO-DIMM-i5'!G:G,""))</f>
        <v/>
      </c>
    </row>
    <row r="19" spans="1:9" x14ac:dyDescent="0.25">
      <c r="A19">
        <v>18</v>
      </c>
      <c r="B19" t="s">
        <v>174</v>
      </c>
      <c r="C19">
        <v>7</v>
      </c>
      <c r="D19" t="s">
        <v>139</v>
      </c>
      <c r="E19" t="s">
        <v>175</v>
      </c>
      <c r="F19" t="s">
        <v>139</v>
      </c>
      <c r="G19" t="s">
        <v>141</v>
      </c>
      <c r="H19" t="s">
        <v>106</v>
      </c>
      <c r="I19">
        <f>_xlfn.XLOOKUP(H19,'SO-DIMM-i5'!A:A,'SO-DIMM-i5'!B:B,_xlfn.XLOOKUP(H19,'SO-DIMM-i5'!H:H,'SO-DIMM-i5'!G:G,""))</f>
        <v>129</v>
      </c>
    </row>
    <row r="20" spans="1:9" x14ac:dyDescent="0.25">
      <c r="A20">
        <v>19</v>
      </c>
      <c r="B20" t="s">
        <v>176</v>
      </c>
      <c r="C20">
        <v>7</v>
      </c>
      <c r="D20" t="s">
        <v>139</v>
      </c>
      <c r="E20" t="s">
        <v>177</v>
      </c>
      <c r="F20" t="b">
        <v>1</v>
      </c>
      <c r="G20" t="s">
        <v>141</v>
      </c>
      <c r="H20" t="s">
        <v>103</v>
      </c>
      <c r="I20">
        <f>_xlfn.XLOOKUP(H20,'SO-DIMM-i5'!A:A,'SO-DIMM-i5'!B:B,_xlfn.XLOOKUP(H20,'SO-DIMM-i5'!H:H,'SO-DIMM-i5'!G:G,""))</f>
        <v>126</v>
      </c>
    </row>
    <row r="21" spans="1:9" hidden="1" x14ac:dyDescent="0.25">
      <c r="A21">
        <v>20</v>
      </c>
      <c r="B21" t="s">
        <v>146</v>
      </c>
      <c r="C21" t="s">
        <v>139</v>
      </c>
      <c r="D21" t="s">
        <v>139</v>
      </c>
      <c r="E21" t="s">
        <v>139</v>
      </c>
      <c r="F21" t="s">
        <v>139</v>
      </c>
      <c r="G21" t="s">
        <v>139</v>
      </c>
      <c r="H21" t="s">
        <v>139</v>
      </c>
      <c r="I21" t="str">
        <f>_xlfn.XLOOKUP(H21,'SO-DIMM-i5'!A:A,'SO-DIMM-i5'!B:B,_xlfn.XLOOKUP(H21,'SO-DIMM-i5'!H:H,'SO-DIMM-i5'!G:G,""))</f>
        <v/>
      </c>
    </row>
    <row r="22" spans="1:9" x14ac:dyDescent="0.25">
      <c r="A22">
        <v>21</v>
      </c>
      <c r="B22" t="s">
        <v>178</v>
      </c>
      <c r="C22">
        <v>7</v>
      </c>
      <c r="D22" t="s">
        <v>139</v>
      </c>
      <c r="E22" t="s">
        <v>179</v>
      </c>
      <c r="F22" t="s">
        <v>139</v>
      </c>
      <c r="G22" t="s">
        <v>141</v>
      </c>
      <c r="H22" t="s">
        <v>101</v>
      </c>
      <c r="I22">
        <f>_xlfn.XLOOKUP(H22,'SO-DIMM-i5'!A:A,'SO-DIMM-i5'!B:B,_xlfn.XLOOKUP(H22,'SO-DIMM-i5'!H:H,'SO-DIMM-i5'!G:G,""))</f>
        <v>124</v>
      </c>
    </row>
    <row r="23" spans="1:9" x14ac:dyDescent="0.25">
      <c r="A23">
        <v>22</v>
      </c>
      <c r="B23" t="s">
        <v>180</v>
      </c>
      <c r="C23">
        <v>7</v>
      </c>
      <c r="D23" t="s">
        <v>139</v>
      </c>
      <c r="E23" t="s">
        <v>181</v>
      </c>
      <c r="F23" t="b">
        <v>1</v>
      </c>
      <c r="G23" t="s">
        <v>141</v>
      </c>
      <c r="H23" t="s">
        <v>111</v>
      </c>
      <c r="I23">
        <f>_xlfn.XLOOKUP(H23,'SO-DIMM-i5'!A:A,'SO-DIMM-i5'!B:B,_xlfn.XLOOKUP(H23,'SO-DIMM-i5'!H:H,'SO-DIMM-i5'!G:G,""))</f>
        <v>137</v>
      </c>
    </row>
    <row r="24" spans="1:9" hidden="1" x14ac:dyDescent="0.25">
      <c r="A24">
        <v>23</v>
      </c>
      <c r="B24" t="s">
        <v>150</v>
      </c>
      <c r="C24" t="s">
        <v>139</v>
      </c>
      <c r="D24" t="s">
        <v>139</v>
      </c>
      <c r="E24" t="s">
        <v>139</v>
      </c>
      <c r="F24" t="s">
        <v>139</v>
      </c>
      <c r="G24" t="s">
        <v>139</v>
      </c>
      <c r="H24" t="s">
        <v>139</v>
      </c>
      <c r="I24" t="str">
        <f>_xlfn.XLOOKUP(H24,'SO-DIMM-i5'!A:A,'SO-DIMM-i5'!B:B,_xlfn.XLOOKUP(H24,'SO-DIMM-i5'!H:H,'SO-DIMM-i5'!G:G,""))</f>
        <v/>
      </c>
    </row>
    <row r="25" spans="1:9" x14ac:dyDescent="0.25">
      <c r="A25">
        <v>24</v>
      </c>
      <c r="B25" t="s">
        <v>182</v>
      </c>
      <c r="C25">
        <v>7</v>
      </c>
      <c r="D25" t="s">
        <v>139</v>
      </c>
      <c r="E25" t="s">
        <v>183</v>
      </c>
      <c r="F25" t="s">
        <v>139</v>
      </c>
      <c r="G25" t="s">
        <v>141</v>
      </c>
      <c r="H25" t="s">
        <v>97</v>
      </c>
      <c r="I25">
        <f>_xlfn.XLOOKUP(H25,'SO-DIMM-i5'!A:A,'SO-DIMM-i5'!B:B,_xlfn.XLOOKUP(H25,'SO-DIMM-i5'!H:H,'SO-DIMM-i5'!G:G,""))</f>
        <v>120</v>
      </c>
    </row>
    <row r="26" spans="1:9" x14ac:dyDescent="0.25">
      <c r="A26">
        <v>25</v>
      </c>
      <c r="B26" t="s">
        <v>184</v>
      </c>
      <c r="C26">
        <v>7</v>
      </c>
      <c r="D26" t="s">
        <v>139</v>
      </c>
      <c r="E26" t="s">
        <v>185</v>
      </c>
      <c r="F26" t="b">
        <v>1</v>
      </c>
      <c r="G26" t="s">
        <v>186</v>
      </c>
      <c r="H26" t="s">
        <v>126</v>
      </c>
      <c r="I26">
        <f>_xlfn.XLOOKUP(H26,'SO-DIMM-i5'!A:A,'SO-DIMM-i5'!B:B,_xlfn.XLOOKUP(H26,'SO-DIMM-i5'!H:H,'SO-DIMM-i5'!G:G,""))</f>
        <v>154</v>
      </c>
    </row>
    <row r="27" spans="1:9" hidden="1" x14ac:dyDescent="0.25">
      <c r="A27">
        <v>26</v>
      </c>
      <c r="B27" t="s">
        <v>146</v>
      </c>
      <c r="C27" t="s">
        <v>139</v>
      </c>
      <c r="D27" t="s">
        <v>139</v>
      </c>
      <c r="E27" t="s">
        <v>139</v>
      </c>
      <c r="F27" t="s">
        <v>139</v>
      </c>
      <c r="G27" t="s">
        <v>139</v>
      </c>
      <c r="H27" t="s">
        <v>139</v>
      </c>
      <c r="I27" t="str">
        <f>_xlfn.XLOOKUP(H27,'SO-DIMM-i5'!A:A,'SO-DIMM-i5'!B:B,_xlfn.XLOOKUP(H27,'SO-DIMM-i5'!H:H,'SO-DIMM-i5'!G:G,""))</f>
        <v/>
      </c>
    </row>
    <row r="28" spans="1:9" x14ac:dyDescent="0.25">
      <c r="A28">
        <v>27</v>
      </c>
      <c r="B28" t="s">
        <v>187</v>
      </c>
      <c r="C28">
        <v>7</v>
      </c>
      <c r="D28" t="s">
        <v>188</v>
      </c>
      <c r="E28" t="s">
        <v>189</v>
      </c>
      <c r="F28" t="s">
        <v>139</v>
      </c>
      <c r="G28" t="s">
        <v>186</v>
      </c>
      <c r="H28" t="s">
        <v>128</v>
      </c>
      <c r="I28">
        <f>_xlfn.XLOOKUP(H28,'SO-DIMM-i5'!A:A,'SO-DIMM-i5'!B:B,_xlfn.XLOOKUP(H28,'SO-DIMM-i5'!H:H,'SO-DIMM-i5'!G:G,""))</f>
        <v>156</v>
      </c>
    </row>
    <row r="29" spans="1:9" x14ac:dyDescent="0.25">
      <c r="A29">
        <v>28</v>
      </c>
      <c r="B29" t="s">
        <v>190</v>
      </c>
      <c r="C29">
        <v>7</v>
      </c>
      <c r="D29" t="s">
        <v>139</v>
      </c>
      <c r="E29" t="s">
        <v>191</v>
      </c>
      <c r="F29" t="b">
        <v>1</v>
      </c>
      <c r="G29" t="s">
        <v>186</v>
      </c>
      <c r="H29" t="s">
        <v>115</v>
      </c>
      <c r="I29">
        <f>_xlfn.XLOOKUP(H29,'SO-DIMM-i5'!A:A,'SO-DIMM-i5'!B:B,_xlfn.XLOOKUP(H29,'SO-DIMM-i5'!H:H,'SO-DIMM-i5'!G:G,""))</f>
        <v>143</v>
      </c>
    </row>
    <row r="30" spans="1:9" hidden="1" x14ac:dyDescent="0.25">
      <c r="A30">
        <v>29</v>
      </c>
      <c r="B30" t="s">
        <v>150</v>
      </c>
      <c r="C30" t="s">
        <v>139</v>
      </c>
      <c r="D30" t="s">
        <v>139</v>
      </c>
      <c r="E30" t="s">
        <v>139</v>
      </c>
      <c r="F30" t="s">
        <v>139</v>
      </c>
      <c r="G30" t="s">
        <v>139</v>
      </c>
      <c r="H30" t="s">
        <v>139</v>
      </c>
      <c r="I30" t="str">
        <f>_xlfn.XLOOKUP(H30,'SO-DIMM-i5'!A:A,'SO-DIMM-i5'!B:B,_xlfn.XLOOKUP(H30,'SO-DIMM-i5'!H:H,'SO-DIMM-i5'!G:G,""))</f>
        <v/>
      </c>
    </row>
    <row r="31" spans="1:9" x14ac:dyDescent="0.25">
      <c r="A31">
        <v>30</v>
      </c>
      <c r="B31" t="s">
        <v>192</v>
      </c>
      <c r="C31">
        <v>7</v>
      </c>
      <c r="D31" t="s">
        <v>139</v>
      </c>
      <c r="E31" t="s">
        <v>193</v>
      </c>
      <c r="F31" t="s">
        <v>139</v>
      </c>
      <c r="G31" t="s">
        <v>186</v>
      </c>
      <c r="H31" t="s">
        <v>114</v>
      </c>
      <c r="I31">
        <f>_xlfn.XLOOKUP(H31,'SO-DIMM-i5'!A:A,'SO-DIMM-i5'!B:B,_xlfn.XLOOKUP(H31,'SO-DIMM-i5'!H:H,'SO-DIMM-i5'!G:G,""))</f>
        <v>141</v>
      </c>
    </row>
    <row r="32" spans="1:9" x14ac:dyDescent="0.25">
      <c r="A32">
        <v>31</v>
      </c>
      <c r="B32" t="s">
        <v>194</v>
      </c>
      <c r="C32">
        <v>7</v>
      </c>
      <c r="D32" t="s">
        <v>139</v>
      </c>
      <c r="E32" t="s">
        <v>195</v>
      </c>
      <c r="F32" t="b">
        <v>1</v>
      </c>
      <c r="G32" t="s">
        <v>186</v>
      </c>
      <c r="H32" t="s">
        <v>117</v>
      </c>
      <c r="I32">
        <f>_xlfn.XLOOKUP(H32,'SO-DIMM-i5'!A:A,'SO-DIMM-i5'!B:B,_xlfn.XLOOKUP(H32,'SO-DIMM-i5'!H:H,'SO-DIMM-i5'!G:G,""))</f>
        <v>145</v>
      </c>
    </row>
    <row r="33" spans="1:11" hidden="1" x14ac:dyDescent="0.25">
      <c r="A33">
        <v>32</v>
      </c>
      <c r="B33" t="s">
        <v>156</v>
      </c>
      <c r="C33" t="s">
        <v>139</v>
      </c>
      <c r="D33" t="s">
        <v>139</v>
      </c>
      <c r="E33" t="s">
        <v>139</v>
      </c>
      <c r="F33" t="s">
        <v>139</v>
      </c>
      <c r="G33" t="s">
        <v>139</v>
      </c>
      <c r="H33" t="s">
        <v>139</v>
      </c>
      <c r="I33" t="str">
        <f>_xlfn.XLOOKUP(H33,'SO-DIMM-i5'!A:A,'SO-DIMM-i5'!B:B,_xlfn.XLOOKUP(H33,'SO-DIMM-i5'!H:H,'SO-DIMM-i5'!G:G,""))</f>
        <v/>
      </c>
    </row>
    <row r="34" spans="1:11" x14ac:dyDescent="0.25">
      <c r="A34">
        <v>33</v>
      </c>
      <c r="B34" t="s">
        <v>196</v>
      </c>
      <c r="C34">
        <v>7</v>
      </c>
      <c r="D34" t="s">
        <v>139</v>
      </c>
      <c r="E34" t="s">
        <v>197</v>
      </c>
      <c r="F34" t="s">
        <v>139</v>
      </c>
      <c r="G34" t="s">
        <v>186</v>
      </c>
      <c r="H34" t="s">
        <v>119</v>
      </c>
      <c r="I34">
        <f>_xlfn.XLOOKUP(H34,'SO-DIMM-i5'!A:A,'SO-DIMM-i5'!B:B,_xlfn.XLOOKUP(H34,'SO-DIMM-i5'!H:H,'SO-DIMM-i5'!G:G,""))</f>
        <v>147</v>
      </c>
    </row>
    <row r="35" spans="1:11" x14ac:dyDescent="0.25">
      <c r="A35">
        <v>34</v>
      </c>
      <c r="B35" t="s">
        <v>198</v>
      </c>
      <c r="C35">
        <v>7</v>
      </c>
      <c r="D35" t="s">
        <v>139</v>
      </c>
      <c r="E35" t="s">
        <v>199</v>
      </c>
      <c r="F35" t="b">
        <v>1</v>
      </c>
      <c r="G35" t="s">
        <v>186</v>
      </c>
      <c r="H35" t="s">
        <v>121</v>
      </c>
      <c r="I35">
        <f>_xlfn.XLOOKUP(H35,'SO-DIMM-i5'!A:A,'SO-DIMM-i5'!B:B,_xlfn.XLOOKUP(H35,'SO-DIMM-i5'!H:H,'SO-DIMM-i5'!G:G,""))</f>
        <v>149</v>
      </c>
    </row>
    <row r="36" spans="1:11" hidden="1" x14ac:dyDescent="0.25">
      <c r="A36">
        <v>35</v>
      </c>
      <c r="B36" t="s">
        <v>161</v>
      </c>
      <c r="C36" t="s">
        <v>139</v>
      </c>
      <c r="D36" t="s">
        <v>139</v>
      </c>
      <c r="E36" t="s">
        <v>139</v>
      </c>
      <c r="F36" t="s">
        <v>139</v>
      </c>
      <c r="G36" t="s">
        <v>139</v>
      </c>
      <c r="H36" t="s">
        <v>139</v>
      </c>
      <c r="I36" t="str">
        <f>_xlfn.XLOOKUP(H36,'SO-DIMM-i5'!A:A,'SO-DIMM-i5'!B:B,_xlfn.XLOOKUP(H36,'SO-DIMM-i5'!H:H,'SO-DIMM-i5'!G:G,""))</f>
        <v/>
      </c>
    </row>
    <row r="37" spans="1:11" x14ac:dyDescent="0.25">
      <c r="A37">
        <v>36</v>
      </c>
      <c r="B37" t="s">
        <v>200</v>
      </c>
      <c r="C37">
        <v>7</v>
      </c>
      <c r="D37" t="s">
        <v>139</v>
      </c>
      <c r="E37" t="s">
        <v>201</v>
      </c>
      <c r="F37" t="s">
        <v>139</v>
      </c>
      <c r="G37" t="s">
        <v>186</v>
      </c>
      <c r="H37" t="s">
        <v>125</v>
      </c>
      <c r="I37">
        <f>_xlfn.XLOOKUP(H37,'SO-DIMM-i5'!A:A,'SO-DIMM-i5'!B:B,_xlfn.XLOOKUP(H37,'SO-DIMM-i5'!H:H,'SO-DIMM-i5'!G:G,""))</f>
        <v>153</v>
      </c>
    </row>
    <row r="38" spans="1:11" x14ac:dyDescent="0.25">
      <c r="A38">
        <v>37</v>
      </c>
      <c r="B38" t="s">
        <v>202</v>
      </c>
      <c r="C38">
        <v>7</v>
      </c>
      <c r="D38" t="s">
        <v>203</v>
      </c>
      <c r="E38" t="s">
        <v>204</v>
      </c>
      <c r="F38" t="b">
        <v>1</v>
      </c>
      <c r="G38" t="s">
        <v>205</v>
      </c>
      <c r="H38" t="s">
        <v>6</v>
      </c>
      <c r="I38">
        <f>_xlfn.XLOOKUP(H38,'SO-DIMM-i5'!A:A,'SO-DIMM-i5'!B:B,_xlfn.XLOOKUP(H38,'SO-DIMM-i5'!H:H,'SO-DIMM-i5'!G:G,""))</f>
        <v>138</v>
      </c>
      <c r="K38" s="3">
        <f>I38</f>
        <v>138</v>
      </c>
    </row>
    <row r="39" spans="1:11" hidden="1" x14ac:dyDescent="0.25">
      <c r="A39">
        <v>38</v>
      </c>
      <c r="B39" t="s">
        <v>167</v>
      </c>
      <c r="C39" t="s">
        <v>139</v>
      </c>
      <c r="D39" t="s">
        <v>139</v>
      </c>
      <c r="E39" t="s">
        <v>139</v>
      </c>
      <c r="F39" t="s">
        <v>139</v>
      </c>
      <c r="G39" t="s">
        <v>139</v>
      </c>
      <c r="H39" t="s">
        <v>139</v>
      </c>
      <c r="I39" t="str">
        <f>_xlfn.XLOOKUP(H39,'SO-DIMM-i5'!A:A,'SO-DIMM-i5'!B:B,_xlfn.XLOOKUP(H39,'SO-DIMM-i5'!H:H,'SO-DIMM-i5'!G:G,""))</f>
        <v/>
      </c>
    </row>
    <row r="40" spans="1:11" x14ac:dyDescent="0.25">
      <c r="A40">
        <v>39</v>
      </c>
      <c r="B40" t="s">
        <v>206</v>
      </c>
      <c r="C40">
        <v>7</v>
      </c>
      <c r="D40" t="s">
        <v>207</v>
      </c>
      <c r="E40" t="s">
        <v>208</v>
      </c>
      <c r="F40" t="s">
        <v>139</v>
      </c>
      <c r="G40" t="s">
        <v>186</v>
      </c>
      <c r="H40" t="s">
        <v>113</v>
      </c>
      <c r="I40">
        <f>_xlfn.XLOOKUP(H40,'SO-DIMM-i5'!A:A,'SO-DIMM-i5'!B:B,_xlfn.XLOOKUP(H40,'SO-DIMM-i5'!H:H,'SO-DIMM-i5'!G:G,""))</f>
        <v>140</v>
      </c>
      <c r="K40" s="3">
        <f>I40</f>
        <v>140</v>
      </c>
    </row>
    <row r="41" spans="1:11" x14ac:dyDescent="0.25">
      <c r="A41">
        <v>40</v>
      </c>
      <c r="B41" t="s">
        <v>209</v>
      </c>
      <c r="C41">
        <v>7</v>
      </c>
      <c r="D41" t="s">
        <v>139</v>
      </c>
      <c r="E41" t="s">
        <v>210</v>
      </c>
      <c r="F41" t="b">
        <v>1</v>
      </c>
      <c r="G41" t="s">
        <v>211</v>
      </c>
      <c r="H41" t="s">
        <v>93</v>
      </c>
      <c r="I41">
        <f>_xlfn.XLOOKUP(H41,'SO-DIMM-i5'!A:A,'SO-DIMM-i5'!B:B,_xlfn.XLOOKUP(H41,'SO-DIMM-i5'!H:H,'SO-DIMM-i5'!G:G,""))</f>
        <v>116</v>
      </c>
    </row>
    <row r="42" spans="1:11" hidden="1" x14ac:dyDescent="0.25">
      <c r="A42">
        <v>41</v>
      </c>
      <c r="B42" t="s">
        <v>161</v>
      </c>
      <c r="C42" t="s">
        <v>139</v>
      </c>
      <c r="D42" t="s">
        <v>139</v>
      </c>
      <c r="E42" t="s">
        <v>139</v>
      </c>
      <c r="F42" t="s">
        <v>139</v>
      </c>
      <c r="G42" t="s">
        <v>139</v>
      </c>
      <c r="H42" t="s">
        <v>139</v>
      </c>
      <c r="I42" t="str">
        <f>_xlfn.XLOOKUP(H42,'SO-DIMM-i5'!A:A,'SO-DIMM-i5'!B:B,_xlfn.XLOOKUP(H42,'SO-DIMM-i5'!H:H,'SO-DIMM-i5'!G:G,""))</f>
        <v/>
      </c>
    </row>
    <row r="43" spans="1:11" x14ac:dyDescent="0.25">
      <c r="A43">
        <v>42</v>
      </c>
      <c r="B43" t="s">
        <v>212</v>
      </c>
      <c r="C43">
        <v>7</v>
      </c>
      <c r="D43" t="s">
        <v>139</v>
      </c>
      <c r="E43" t="s">
        <v>213</v>
      </c>
      <c r="F43" t="s">
        <v>139</v>
      </c>
      <c r="G43" t="s">
        <v>186</v>
      </c>
      <c r="H43" t="s">
        <v>110</v>
      </c>
      <c r="I43">
        <f>_xlfn.XLOOKUP(H43,'SO-DIMM-i5'!A:A,'SO-DIMM-i5'!B:B,_xlfn.XLOOKUP(H43,'SO-DIMM-i5'!H:H,'SO-DIMM-i5'!G:G,""))</f>
        <v>136</v>
      </c>
    </row>
    <row r="44" spans="1:11" x14ac:dyDescent="0.25">
      <c r="A44">
        <v>43</v>
      </c>
      <c r="B44" t="s">
        <v>214</v>
      </c>
      <c r="C44">
        <v>7</v>
      </c>
      <c r="D44" t="s">
        <v>215</v>
      </c>
      <c r="E44" t="s">
        <v>216</v>
      </c>
      <c r="F44" t="b">
        <v>1</v>
      </c>
      <c r="G44" t="s">
        <v>186</v>
      </c>
      <c r="H44" t="s">
        <v>7</v>
      </c>
      <c r="I44">
        <f>_xlfn.XLOOKUP(H44,'SO-DIMM-i5'!A:A,'SO-DIMM-i5'!B:B,_xlfn.XLOOKUP(H44,'SO-DIMM-i5'!H:H,'SO-DIMM-i5'!G:G,""))</f>
        <v>134</v>
      </c>
      <c r="K44" s="2">
        <f>I44</f>
        <v>134</v>
      </c>
    </row>
    <row r="45" spans="1:11" hidden="1" x14ac:dyDescent="0.25">
      <c r="A45">
        <v>44</v>
      </c>
      <c r="B45" t="s">
        <v>146</v>
      </c>
      <c r="C45" t="s">
        <v>139</v>
      </c>
      <c r="D45" t="s">
        <v>139</v>
      </c>
      <c r="E45" t="s">
        <v>139</v>
      </c>
      <c r="F45" t="s">
        <v>139</v>
      </c>
      <c r="G45" t="s">
        <v>139</v>
      </c>
      <c r="H45" t="s">
        <v>139</v>
      </c>
      <c r="I45" t="str">
        <f>_xlfn.XLOOKUP(H45,'SO-DIMM-i5'!A:A,'SO-DIMM-i5'!B:B,_xlfn.XLOOKUP(H45,'SO-DIMM-i5'!H:H,'SO-DIMM-i5'!G:G,""))</f>
        <v/>
      </c>
    </row>
    <row r="46" spans="1:11" x14ac:dyDescent="0.25">
      <c r="A46">
        <v>45</v>
      </c>
      <c r="B46" t="s">
        <v>217</v>
      </c>
      <c r="C46">
        <v>7</v>
      </c>
      <c r="D46" t="s">
        <v>218</v>
      </c>
      <c r="E46" t="s">
        <v>219</v>
      </c>
      <c r="F46" t="s">
        <v>139</v>
      </c>
      <c r="G46" t="s">
        <v>186</v>
      </c>
      <c r="H46" t="s">
        <v>127</v>
      </c>
      <c r="I46">
        <f>_xlfn.XLOOKUP(H46,'SO-DIMM-i5'!A:A,'SO-DIMM-i5'!B:B,_xlfn.XLOOKUP(H46,'SO-DIMM-i5'!H:H,'SO-DIMM-i5'!G:G,""))</f>
        <v>155</v>
      </c>
      <c r="J46" s="2">
        <f>I46</f>
        <v>155</v>
      </c>
    </row>
    <row r="47" spans="1:11" x14ac:dyDescent="0.25">
      <c r="A47">
        <v>46</v>
      </c>
      <c r="B47" t="s">
        <v>220</v>
      </c>
      <c r="C47">
        <v>7</v>
      </c>
      <c r="D47" t="s">
        <v>221</v>
      </c>
      <c r="E47" t="s">
        <v>222</v>
      </c>
      <c r="F47" t="b">
        <v>1</v>
      </c>
      <c r="G47" t="s">
        <v>186</v>
      </c>
      <c r="H47" t="s">
        <v>8</v>
      </c>
      <c r="I47">
        <f>_xlfn.XLOOKUP(H47,'SO-DIMM-i5'!A:A,'SO-DIMM-i5'!B:B,_xlfn.XLOOKUP(H47,'SO-DIMM-i5'!H:H,'SO-DIMM-i5'!G:G,""))</f>
        <v>132</v>
      </c>
    </row>
    <row r="48" spans="1:11" hidden="1" x14ac:dyDescent="0.25">
      <c r="A48">
        <v>47</v>
      </c>
      <c r="B48" t="s">
        <v>150</v>
      </c>
      <c r="C48" t="s">
        <v>139</v>
      </c>
      <c r="D48" t="s">
        <v>139</v>
      </c>
      <c r="E48" t="s">
        <v>139</v>
      </c>
      <c r="F48" t="s">
        <v>139</v>
      </c>
      <c r="G48" t="s">
        <v>139</v>
      </c>
      <c r="H48" t="s">
        <v>139</v>
      </c>
      <c r="I48" t="str">
        <f>_xlfn.XLOOKUP(H48,'SO-DIMM-i5'!A:A,'SO-DIMM-i5'!B:B,_xlfn.XLOOKUP(H48,'SO-DIMM-i5'!H:H,'SO-DIMM-i5'!G:G,""))</f>
        <v/>
      </c>
    </row>
    <row r="49" spans="1:11" x14ac:dyDescent="0.25">
      <c r="A49">
        <v>48</v>
      </c>
      <c r="B49" t="s">
        <v>223</v>
      </c>
      <c r="C49">
        <v>7</v>
      </c>
      <c r="D49" t="s">
        <v>224</v>
      </c>
      <c r="E49" t="s">
        <v>225</v>
      </c>
      <c r="F49" t="s">
        <v>139</v>
      </c>
      <c r="G49" t="s">
        <v>186</v>
      </c>
      <c r="H49" t="s">
        <v>123</v>
      </c>
      <c r="I49">
        <f>_xlfn.XLOOKUP(H49,'SO-DIMM-i5'!A:A,'SO-DIMM-i5'!B:B,_xlfn.XLOOKUP(H49,'SO-DIMM-i5'!H:H,'SO-DIMM-i5'!G:G,""))</f>
        <v>151</v>
      </c>
    </row>
    <row r="50" spans="1:11" hidden="1" x14ac:dyDescent="0.25">
      <c r="A50">
        <v>49</v>
      </c>
      <c r="B50" t="s">
        <v>226</v>
      </c>
      <c r="C50">
        <v>6</v>
      </c>
      <c r="D50" t="s">
        <v>227</v>
      </c>
      <c r="E50" t="s">
        <v>228</v>
      </c>
      <c r="F50" t="b">
        <v>1</v>
      </c>
      <c r="G50" t="s">
        <v>229</v>
      </c>
      <c r="H50" t="s">
        <v>230</v>
      </c>
      <c r="I50" t="str">
        <f>_xlfn.XLOOKUP(H50,'SO-DIMM-i5'!A:A,'SO-DIMM-i5'!B:B,_xlfn.XLOOKUP(H50,'SO-DIMM-i5'!H:H,'SO-DIMM-i5'!G:G,""))</f>
        <v/>
      </c>
    </row>
    <row r="51" spans="1:11" hidden="1" x14ac:dyDescent="0.25">
      <c r="A51">
        <v>50</v>
      </c>
      <c r="B51" t="s">
        <v>231</v>
      </c>
      <c r="C51" t="s">
        <v>139</v>
      </c>
      <c r="D51" t="s">
        <v>139</v>
      </c>
      <c r="E51" t="s">
        <v>139</v>
      </c>
      <c r="F51" t="s">
        <v>139</v>
      </c>
      <c r="G51" t="s">
        <v>139</v>
      </c>
      <c r="H51" t="s">
        <v>139</v>
      </c>
      <c r="I51" t="str">
        <f>_xlfn.XLOOKUP(H51,'SO-DIMM-i5'!A:A,'SO-DIMM-i5'!B:B,_xlfn.XLOOKUP(H51,'SO-DIMM-i5'!H:H,'SO-DIMM-i5'!G:G,""))</f>
        <v/>
      </c>
    </row>
    <row r="52" spans="1:11" hidden="1" x14ac:dyDescent="0.25">
      <c r="A52">
        <v>51</v>
      </c>
      <c r="B52" t="s">
        <v>232</v>
      </c>
      <c r="C52">
        <v>6</v>
      </c>
      <c r="D52" t="s">
        <v>233</v>
      </c>
      <c r="E52" t="s">
        <v>234</v>
      </c>
      <c r="F52" t="s">
        <v>139</v>
      </c>
      <c r="G52" t="s">
        <v>229</v>
      </c>
      <c r="H52" t="s">
        <v>235</v>
      </c>
      <c r="I52" t="str">
        <f>_xlfn.XLOOKUP(H52,'SO-DIMM-i5'!A:A,'SO-DIMM-i5'!B:B,_xlfn.XLOOKUP(H52,'SO-DIMM-i5'!H:H,'SO-DIMM-i5'!G:G,""))</f>
        <v/>
      </c>
    </row>
    <row r="53" spans="1:11" x14ac:dyDescent="0.25">
      <c r="A53">
        <v>52</v>
      </c>
      <c r="B53" t="s">
        <v>236</v>
      </c>
      <c r="C53">
        <v>6</v>
      </c>
      <c r="D53" t="s">
        <v>237</v>
      </c>
      <c r="E53" t="s">
        <v>238</v>
      </c>
      <c r="F53" t="b">
        <v>1</v>
      </c>
      <c r="G53" t="s">
        <v>229</v>
      </c>
      <c r="H53" t="s">
        <v>9</v>
      </c>
      <c r="I53">
        <f>_xlfn.XLOOKUP(H53,'SO-DIMM-i5'!A:A,'SO-DIMM-i5'!B:B,_xlfn.XLOOKUP(H53,'SO-DIMM-i5'!H:H,'SO-DIMM-i5'!G:G,""))</f>
        <v>130</v>
      </c>
    </row>
    <row r="54" spans="1:11" hidden="1" x14ac:dyDescent="0.25">
      <c r="A54">
        <v>53</v>
      </c>
      <c r="B54" t="s">
        <v>239</v>
      </c>
      <c r="C54" t="s">
        <v>139</v>
      </c>
      <c r="D54" t="s">
        <v>139</v>
      </c>
      <c r="E54" t="s">
        <v>139</v>
      </c>
      <c r="F54" t="s">
        <v>139</v>
      </c>
      <c r="G54" t="s">
        <v>139</v>
      </c>
      <c r="H54" t="s">
        <v>139</v>
      </c>
      <c r="I54" t="str">
        <f>_xlfn.XLOOKUP(H54,'SO-DIMM-i5'!A:A,'SO-DIMM-i5'!B:B,_xlfn.XLOOKUP(H54,'SO-DIMM-i5'!H:H,'SO-DIMM-i5'!G:G,""))</f>
        <v/>
      </c>
    </row>
    <row r="55" spans="1:11" hidden="1" x14ac:dyDescent="0.25">
      <c r="A55">
        <v>54</v>
      </c>
      <c r="B55" t="s">
        <v>240</v>
      </c>
      <c r="C55">
        <v>6</v>
      </c>
      <c r="D55" t="s">
        <v>241</v>
      </c>
      <c r="E55" t="s">
        <v>242</v>
      </c>
      <c r="F55" t="s">
        <v>139</v>
      </c>
      <c r="G55" t="s">
        <v>229</v>
      </c>
      <c r="H55" t="s">
        <v>243</v>
      </c>
      <c r="I55" t="str">
        <f>_xlfn.XLOOKUP(H55,'SO-DIMM-i5'!A:A,'SO-DIMM-i5'!B:B,_xlfn.XLOOKUP(H55,'SO-DIMM-i5'!H:H,'SO-DIMM-i5'!G:G,""))</f>
        <v/>
      </c>
    </row>
    <row r="56" spans="1:11" x14ac:dyDescent="0.25">
      <c r="A56">
        <v>55</v>
      </c>
      <c r="B56" t="s">
        <v>244</v>
      </c>
      <c r="C56">
        <v>6</v>
      </c>
      <c r="D56" t="s">
        <v>245</v>
      </c>
      <c r="E56" t="s">
        <v>246</v>
      </c>
      <c r="F56" t="b">
        <v>1</v>
      </c>
      <c r="G56" t="s">
        <v>229</v>
      </c>
      <c r="H56" t="s">
        <v>10</v>
      </c>
      <c r="I56">
        <f>_xlfn.XLOOKUP(H56,'SO-DIMM-i5'!A:A,'SO-DIMM-i5'!B:B,_xlfn.XLOOKUP(H56,'SO-DIMM-i5'!H:H,'SO-DIMM-i5'!G:G,""))</f>
        <v>142</v>
      </c>
      <c r="K56" s="3">
        <f>I56</f>
        <v>142</v>
      </c>
    </row>
    <row r="57" spans="1:11" hidden="1" x14ac:dyDescent="0.25">
      <c r="A57">
        <v>56</v>
      </c>
      <c r="B57" t="s">
        <v>156</v>
      </c>
      <c r="C57" t="s">
        <v>139</v>
      </c>
      <c r="D57" t="s">
        <v>139</v>
      </c>
      <c r="E57" t="s">
        <v>139</v>
      </c>
      <c r="F57" t="s">
        <v>139</v>
      </c>
      <c r="G57" t="s">
        <v>139</v>
      </c>
      <c r="H57" t="s">
        <v>139</v>
      </c>
      <c r="I57" t="str">
        <f>_xlfn.XLOOKUP(H57,'SO-DIMM-i5'!A:A,'SO-DIMM-i5'!B:B,_xlfn.XLOOKUP(H57,'SO-DIMM-i5'!H:H,'SO-DIMM-i5'!G:G,""))</f>
        <v/>
      </c>
    </row>
    <row r="58" spans="1:11" hidden="1" x14ac:dyDescent="0.25">
      <c r="A58">
        <v>57</v>
      </c>
      <c r="B58" t="s">
        <v>247</v>
      </c>
      <c r="C58">
        <v>6</v>
      </c>
      <c r="D58" t="s">
        <v>248</v>
      </c>
      <c r="E58" t="s">
        <v>249</v>
      </c>
      <c r="F58" t="s">
        <v>139</v>
      </c>
      <c r="G58" t="s">
        <v>229</v>
      </c>
      <c r="H58" t="s">
        <v>250</v>
      </c>
      <c r="I58" t="str">
        <f>_xlfn.XLOOKUP(H58,'SO-DIMM-i5'!A:A,'SO-DIMM-i5'!B:B,_xlfn.XLOOKUP(H58,'SO-DIMM-i5'!H:H,'SO-DIMM-i5'!G:G,""))</f>
        <v/>
      </c>
    </row>
    <row r="59" spans="1:11" x14ac:dyDescent="0.25">
      <c r="A59">
        <v>58</v>
      </c>
      <c r="B59" t="s">
        <v>251</v>
      </c>
      <c r="C59">
        <v>6</v>
      </c>
      <c r="D59" t="s">
        <v>139</v>
      </c>
      <c r="E59" t="s">
        <v>252</v>
      </c>
      <c r="F59" t="b">
        <v>1</v>
      </c>
      <c r="G59" t="s">
        <v>229</v>
      </c>
      <c r="H59" t="s">
        <v>116</v>
      </c>
      <c r="I59">
        <f>_xlfn.XLOOKUP(H59,'SO-DIMM-i5'!A:A,'SO-DIMM-i5'!B:B,_xlfn.XLOOKUP(H59,'SO-DIMM-i5'!H:H,'SO-DIMM-i5'!G:G,""))</f>
        <v>144</v>
      </c>
    </row>
    <row r="60" spans="1:11" hidden="1" x14ac:dyDescent="0.25">
      <c r="A60">
        <v>59</v>
      </c>
      <c r="B60" t="s">
        <v>161</v>
      </c>
      <c r="C60" t="s">
        <v>139</v>
      </c>
      <c r="D60" t="s">
        <v>139</v>
      </c>
      <c r="E60" t="s">
        <v>139</v>
      </c>
      <c r="F60" t="s">
        <v>139</v>
      </c>
      <c r="G60" t="s">
        <v>139</v>
      </c>
      <c r="H60" t="s">
        <v>139</v>
      </c>
      <c r="I60" t="str">
        <f>_xlfn.XLOOKUP(H60,'SO-DIMM-i5'!A:A,'SO-DIMM-i5'!B:B,_xlfn.XLOOKUP(H60,'SO-DIMM-i5'!H:H,'SO-DIMM-i5'!G:G,""))</f>
        <v/>
      </c>
    </row>
    <row r="61" spans="1:11" x14ac:dyDescent="0.25">
      <c r="A61">
        <v>60</v>
      </c>
      <c r="B61" t="s">
        <v>253</v>
      </c>
      <c r="C61">
        <v>6</v>
      </c>
      <c r="D61" t="s">
        <v>139</v>
      </c>
      <c r="E61" t="s">
        <v>254</v>
      </c>
      <c r="F61" t="s">
        <v>139</v>
      </c>
      <c r="G61" t="s">
        <v>229</v>
      </c>
      <c r="H61" t="s">
        <v>118</v>
      </c>
      <c r="I61">
        <f>_xlfn.XLOOKUP(H61,'SO-DIMM-i5'!A:A,'SO-DIMM-i5'!B:B,_xlfn.XLOOKUP(H61,'SO-DIMM-i5'!H:H,'SO-DIMM-i5'!G:G,""))</f>
        <v>146</v>
      </c>
    </row>
    <row r="62" spans="1:11" hidden="1" x14ac:dyDescent="0.25">
      <c r="A62">
        <v>61</v>
      </c>
      <c r="B62" t="s">
        <v>255</v>
      </c>
      <c r="C62">
        <v>6</v>
      </c>
      <c r="D62" t="s">
        <v>139</v>
      </c>
      <c r="E62" t="s">
        <v>256</v>
      </c>
      <c r="F62" t="b">
        <v>1</v>
      </c>
      <c r="G62" t="s">
        <v>257</v>
      </c>
      <c r="H62" t="s">
        <v>258</v>
      </c>
      <c r="I62" t="str">
        <f>_xlfn.XLOOKUP(H62,'SO-DIMM-i5'!A:A,'SO-DIMM-i5'!B:B,_xlfn.XLOOKUP(H62,'SO-DIMM-i5'!H:H,'SO-DIMM-i5'!G:G,""))</f>
        <v/>
      </c>
    </row>
    <row r="63" spans="1:11" hidden="1" x14ac:dyDescent="0.25">
      <c r="A63">
        <v>62</v>
      </c>
      <c r="B63" t="s">
        <v>167</v>
      </c>
      <c r="C63" t="s">
        <v>139</v>
      </c>
      <c r="D63" t="s">
        <v>139</v>
      </c>
      <c r="E63" t="s">
        <v>139</v>
      </c>
      <c r="F63" t="s">
        <v>139</v>
      </c>
      <c r="G63" t="s">
        <v>139</v>
      </c>
      <c r="H63" t="s">
        <v>139</v>
      </c>
      <c r="I63" t="str">
        <f>_xlfn.XLOOKUP(H63,'SO-DIMM-i5'!A:A,'SO-DIMM-i5'!B:B,_xlfn.XLOOKUP(H63,'SO-DIMM-i5'!H:H,'SO-DIMM-i5'!G:G,""))</f>
        <v/>
      </c>
    </row>
    <row r="64" spans="1:11" hidden="1" x14ac:dyDescent="0.25">
      <c r="A64">
        <v>63</v>
      </c>
      <c r="B64" t="s">
        <v>259</v>
      </c>
      <c r="C64">
        <v>6</v>
      </c>
      <c r="D64" t="s">
        <v>139</v>
      </c>
      <c r="E64" t="s">
        <v>260</v>
      </c>
      <c r="F64" t="s">
        <v>139</v>
      </c>
      <c r="G64" t="s">
        <v>229</v>
      </c>
      <c r="H64" t="s">
        <v>261</v>
      </c>
      <c r="I64" t="str">
        <f>_xlfn.XLOOKUP(H64,'SO-DIMM-i5'!A:A,'SO-DIMM-i5'!B:B,_xlfn.XLOOKUP(H64,'SO-DIMM-i5'!H:H,'SO-DIMM-i5'!G:G,""))</f>
        <v/>
      </c>
    </row>
    <row r="65" spans="1:9" hidden="1" x14ac:dyDescent="0.25">
      <c r="A65">
        <v>64</v>
      </c>
      <c r="B65" t="s">
        <v>262</v>
      </c>
      <c r="C65">
        <v>6</v>
      </c>
      <c r="D65" t="s">
        <v>139</v>
      </c>
      <c r="E65" t="s">
        <v>263</v>
      </c>
      <c r="F65" t="b">
        <v>1</v>
      </c>
      <c r="G65" t="s">
        <v>264</v>
      </c>
      <c r="H65" t="s">
        <v>265</v>
      </c>
      <c r="I65" t="str">
        <f>_xlfn.XLOOKUP(H65,'SO-DIMM-i5'!A:A,'SO-DIMM-i5'!B:B,_xlfn.XLOOKUP(H65,'SO-DIMM-i5'!H:H,'SO-DIMM-i5'!G:G,""))</f>
        <v/>
      </c>
    </row>
    <row r="66" spans="1:9" hidden="1" x14ac:dyDescent="0.25">
      <c r="A66">
        <v>65</v>
      </c>
      <c r="B66" t="s">
        <v>161</v>
      </c>
      <c r="C66" t="s">
        <v>139</v>
      </c>
      <c r="D66" t="s">
        <v>139</v>
      </c>
      <c r="E66" t="s">
        <v>139</v>
      </c>
      <c r="F66" t="s">
        <v>139</v>
      </c>
      <c r="G66" t="s">
        <v>139</v>
      </c>
      <c r="H66" t="s">
        <v>139</v>
      </c>
      <c r="I66" t="str">
        <f>_xlfn.XLOOKUP(H66,'SO-DIMM-i5'!A:A,'SO-DIMM-i5'!B:B,_xlfn.XLOOKUP(H66,'SO-DIMM-i5'!H:H,'SO-DIMM-i5'!G:G,""))</f>
        <v/>
      </c>
    </row>
    <row r="67" spans="1:9" hidden="1" x14ac:dyDescent="0.25">
      <c r="A67">
        <v>66</v>
      </c>
      <c r="B67" t="s">
        <v>266</v>
      </c>
      <c r="C67">
        <v>6</v>
      </c>
      <c r="D67" t="s">
        <v>139</v>
      </c>
      <c r="E67" t="s">
        <v>267</v>
      </c>
      <c r="F67" t="s">
        <v>139</v>
      </c>
      <c r="G67" t="s">
        <v>229</v>
      </c>
      <c r="H67" t="s">
        <v>268</v>
      </c>
      <c r="I67" t="str">
        <f>_xlfn.XLOOKUP(H67,'SO-DIMM-i5'!A:A,'SO-DIMM-i5'!B:B,_xlfn.XLOOKUP(H67,'SO-DIMM-i5'!H:H,'SO-DIMM-i5'!G:G,""))</f>
        <v/>
      </c>
    </row>
    <row r="68" spans="1:9" x14ac:dyDescent="0.25">
      <c r="A68">
        <v>67</v>
      </c>
      <c r="B68" t="s">
        <v>269</v>
      </c>
      <c r="C68">
        <v>6</v>
      </c>
      <c r="D68" t="s">
        <v>139</v>
      </c>
      <c r="E68" t="s">
        <v>270</v>
      </c>
      <c r="F68" t="b">
        <v>1</v>
      </c>
      <c r="G68" t="s">
        <v>229</v>
      </c>
      <c r="H68" t="s">
        <v>120</v>
      </c>
      <c r="I68">
        <f>_xlfn.XLOOKUP(H68,'SO-DIMM-i5'!A:A,'SO-DIMM-i5'!B:B,_xlfn.XLOOKUP(H68,'SO-DIMM-i5'!H:H,'SO-DIMM-i5'!G:G,""))</f>
        <v>148</v>
      </c>
    </row>
    <row r="69" spans="1:9" hidden="1" x14ac:dyDescent="0.25">
      <c r="A69">
        <v>68</v>
      </c>
      <c r="B69" t="s">
        <v>231</v>
      </c>
      <c r="C69" t="s">
        <v>139</v>
      </c>
      <c r="D69" t="s">
        <v>139</v>
      </c>
      <c r="E69" t="s">
        <v>139</v>
      </c>
      <c r="F69" t="s">
        <v>139</v>
      </c>
      <c r="G69" t="s">
        <v>139</v>
      </c>
      <c r="H69" t="s">
        <v>139</v>
      </c>
      <c r="I69" t="str">
        <f>_xlfn.XLOOKUP(H69,'SO-DIMM-i5'!A:A,'SO-DIMM-i5'!B:B,_xlfn.XLOOKUP(H69,'SO-DIMM-i5'!H:H,'SO-DIMM-i5'!G:G,""))</f>
        <v/>
      </c>
    </row>
    <row r="70" spans="1:9" x14ac:dyDescent="0.25">
      <c r="A70">
        <v>69</v>
      </c>
      <c r="B70" t="s">
        <v>271</v>
      </c>
      <c r="C70">
        <v>6</v>
      </c>
      <c r="D70" t="s">
        <v>139</v>
      </c>
      <c r="E70" t="s">
        <v>272</v>
      </c>
      <c r="F70" t="s">
        <v>139</v>
      </c>
      <c r="G70" t="s">
        <v>229</v>
      </c>
      <c r="H70" t="s">
        <v>59</v>
      </c>
      <c r="I70">
        <f>_xlfn.XLOOKUP(H70,'SO-DIMM-i5'!A:A,'SO-DIMM-i5'!B:B,_xlfn.XLOOKUP(H70,'SO-DIMM-i5'!H:H,'SO-DIMM-i5'!G:G,""))</f>
        <v>74</v>
      </c>
    </row>
    <row r="71" spans="1:9" x14ac:dyDescent="0.25">
      <c r="A71">
        <v>70</v>
      </c>
      <c r="B71" t="s">
        <v>273</v>
      </c>
      <c r="C71">
        <v>6</v>
      </c>
      <c r="D71" t="s">
        <v>274</v>
      </c>
      <c r="E71" t="s">
        <v>275</v>
      </c>
      <c r="F71" t="b">
        <v>1</v>
      </c>
      <c r="G71" t="s">
        <v>229</v>
      </c>
      <c r="H71" t="s">
        <v>122</v>
      </c>
      <c r="I71">
        <f>_xlfn.XLOOKUP(H71,'SO-DIMM-i5'!A:A,'SO-DIMM-i5'!B:B,_xlfn.XLOOKUP(H71,'SO-DIMM-i5'!H:H,'SO-DIMM-i5'!G:G,""))</f>
        <v>150</v>
      </c>
    </row>
    <row r="72" spans="1:9" hidden="1" x14ac:dyDescent="0.25">
      <c r="A72">
        <v>71</v>
      </c>
      <c r="B72" t="s">
        <v>239</v>
      </c>
      <c r="C72" t="s">
        <v>139</v>
      </c>
      <c r="D72" t="s">
        <v>139</v>
      </c>
      <c r="E72" t="s">
        <v>139</v>
      </c>
      <c r="F72" t="s">
        <v>139</v>
      </c>
      <c r="G72" t="s">
        <v>139</v>
      </c>
      <c r="H72" t="s">
        <v>139</v>
      </c>
      <c r="I72" t="str">
        <f>_xlfn.XLOOKUP(H72,'SO-DIMM-i5'!A:A,'SO-DIMM-i5'!B:B,_xlfn.XLOOKUP(H72,'SO-DIMM-i5'!H:H,'SO-DIMM-i5'!G:G,""))</f>
        <v/>
      </c>
    </row>
    <row r="73" spans="1:9" x14ac:dyDescent="0.25">
      <c r="A73">
        <v>72</v>
      </c>
      <c r="B73" t="s">
        <v>276</v>
      </c>
      <c r="C73">
        <v>6</v>
      </c>
      <c r="D73" t="s">
        <v>139</v>
      </c>
      <c r="E73" t="s">
        <v>277</v>
      </c>
      <c r="F73" t="s">
        <v>139</v>
      </c>
      <c r="G73" t="s">
        <v>229</v>
      </c>
      <c r="H73" t="s">
        <v>61</v>
      </c>
      <c r="I73">
        <f>_xlfn.XLOOKUP(H73,'SO-DIMM-i5'!A:A,'SO-DIMM-i5'!B:B,_xlfn.XLOOKUP(H73,'SO-DIMM-i5'!H:H,'SO-DIMM-i5'!G:G,""))</f>
        <v>76</v>
      </c>
    </row>
    <row r="74" spans="1:9" x14ac:dyDescent="0.25">
      <c r="A74">
        <v>73</v>
      </c>
      <c r="B74" t="s">
        <v>278</v>
      </c>
      <c r="C74">
        <v>6</v>
      </c>
      <c r="D74" t="s">
        <v>139</v>
      </c>
      <c r="E74" t="s">
        <v>279</v>
      </c>
      <c r="F74" t="b">
        <v>1</v>
      </c>
      <c r="G74" t="s">
        <v>280</v>
      </c>
      <c r="H74" t="s">
        <v>57</v>
      </c>
      <c r="I74">
        <f>_xlfn.XLOOKUP(H74,'SO-DIMM-i5'!A:A,'SO-DIMM-i5'!B:B,_xlfn.XLOOKUP(H74,'SO-DIMM-i5'!H:H,'SO-DIMM-i5'!G:G,""))</f>
        <v>72</v>
      </c>
    </row>
    <row r="75" spans="1:9" hidden="1" x14ac:dyDescent="0.25">
      <c r="A75">
        <v>74</v>
      </c>
      <c r="B75" t="s">
        <v>231</v>
      </c>
      <c r="C75" t="s">
        <v>139</v>
      </c>
      <c r="D75" t="s">
        <v>139</v>
      </c>
      <c r="E75" t="s">
        <v>139</v>
      </c>
      <c r="F75" t="s">
        <v>139</v>
      </c>
      <c r="G75" t="s">
        <v>139</v>
      </c>
      <c r="H75" t="s">
        <v>139</v>
      </c>
      <c r="I75" t="str">
        <f>_xlfn.XLOOKUP(H75,'SO-DIMM-i5'!A:A,'SO-DIMM-i5'!B:B,_xlfn.XLOOKUP(H75,'SO-DIMM-i5'!H:H,'SO-DIMM-i5'!G:G,""))</f>
        <v/>
      </c>
    </row>
    <row r="76" spans="1:9" x14ac:dyDescent="0.25">
      <c r="A76">
        <v>75</v>
      </c>
      <c r="B76" t="s">
        <v>281</v>
      </c>
      <c r="C76">
        <v>6</v>
      </c>
      <c r="D76" t="s">
        <v>139</v>
      </c>
      <c r="E76" t="s">
        <v>282</v>
      </c>
      <c r="F76" t="s">
        <v>139</v>
      </c>
      <c r="G76" t="s">
        <v>280</v>
      </c>
      <c r="H76" t="s">
        <v>55</v>
      </c>
      <c r="I76">
        <f>_xlfn.XLOOKUP(H76,'SO-DIMM-i5'!A:A,'SO-DIMM-i5'!B:B,_xlfn.XLOOKUP(H76,'SO-DIMM-i5'!H:H,'SO-DIMM-i5'!G:G,""))</f>
        <v>70</v>
      </c>
    </row>
    <row r="77" spans="1:9" hidden="1" x14ac:dyDescent="0.25">
      <c r="A77">
        <v>76</v>
      </c>
      <c r="B77" t="s">
        <v>283</v>
      </c>
      <c r="C77">
        <v>6</v>
      </c>
      <c r="D77" t="s">
        <v>139</v>
      </c>
      <c r="E77" t="s">
        <v>284</v>
      </c>
      <c r="F77" t="b">
        <v>1</v>
      </c>
      <c r="G77" t="s">
        <v>280</v>
      </c>
      <c r="H77" t="s">
        <v>285</v>
      </c>
      <c r="I77" t="str">
        <f>_xlfn.XLOOKUP(H77,'SO-DIMM-i5'!A:A,'SO-DIMM-i5'!B:B,_xlfn.XLOOKUP(H77,'SO-DIMM-i5'!H:H,'SO-DIMM-i5'!G:G,""))</f>
        <v/>
      </c>
    </row>
    <row r="78" spans="1:9" hidden="1" x14ac:dyDescent="0.25">
      <c r="A78">
        <v>77</v>
      </c>
      <c r="B78" t="s">
        <v>239</v>
      </c>
      <c r="C78" t="s">
        <v>139</v>
      </c>
      <c r="D78" t="s">
        <v>139</v>
      </c>
      <c r="E78" t="s">
        <v>139</v>
      </c>
      <c r="F78" t="s">
        <v>139</v>
      </c>
      <c r="G78" t="s">
        <v>139</v>
      </c>
      <c r="H78" t="s">
        <v>139</v>
      </c>
      <c r="I78" t="str">
        <f>_xlfn.XLOOKUP(H78,'SO-DIMM-i5'!A:A,'SO-DIMM-i5'!B:B,_xlfn.XLOOKUP(H78,'SO-DIMM-i5'!H:H,'SO-DIMM-i5'!G:G,""))</f>
        <v/>
      </c>
    </row>
    <row r="79" spans="1:9" hidden="1" x14ac:dyDescent="0.25">
      <c r="A79">
        <v>78</v>
      </c>
      <c r="B79" t="s">
        <v>286</v>
      </c>
      <c r="C79">
        <v>6</v>
      </c>
      <c r="D79" t="s">
        <v>139</v>
      </c>
      <c r="E79" t="s">
        <v>287</v>
      </c>
      <c r="F79" t="s">
        <v>139</v>
      </c>
      <c r="G79" t="s">
        <v>280</v>
      </c>
      <c r="H79" t="s">
        <v>288</v>
      </c>
      <c r="I79" t="str">
        <f>_xlfn.XLOOKUP(H79,'SO-DIMM-i5'!A:A,'SO-DIMM-i5'!B:B,_xlfn.XLOOKUP(H79,'SO-DIMM-i5'!H:H,'SO-DIMM-i5'!G:G,""))</f>
        <v/>
      </c>
    </row>
    <row r="80" spans="1:9" x14ac:dyDescent="0.25">
      <c r="A80">
        <v>79</v>
      </c>
      <c r="B80" t="s">
        <v>289</v>
      </c>
      <c r="C80">
        <v>6</v>
      </c>
      <c r="D80" t="s">
        <v>139</v>
      </c>
      <c r="E80" t="s">
        <v>290</v>
      </c>
      <c r="F80" t="b">
        <v>1</v>
      </c>
      <c r="G80" t="s">
        <v>280</v>
      </c>
      <c r="H80" t="s">
        <v>45</v>
      </c>
      <c r="I80">
        <f>_xlfn.XLOOKUP(H80,'SO-DIMM-i5'!A:A,'SO-DIMM-i5'!B:B,_xlfn.XLOOKUP(H80,'SO-DIMM-i5'!H:H,'SO-DIMM-i5'!G:G,""))</f>
        <v>60</v>
      </c>
    </row>
    <row r="81" spans="1:9" hidden="1" x14ac:dyDescent="0.25">
      <c r="A81">
        <v>80</v>
      </c>
      <c r="B81" t="s">
        <v>156</v>
      </c>
      <c r="C81" t="s">
        <v>139</v>
      </c>
      <c r="D81" t="s">
        <v>139</v>
      </c>
      <c r="E81" t="s">
        <v>139</v>
      </c>
      <c r="F81" t="s">
        <v>139</v>
      </c>
      <c r="G81" t="s">
        <v>139</v>
      </c>
      <c r="H81" t="s">
        <v>139</v>
      </c>
      <c r="I81" t="str">
        <f>_xlfn.XLOOKUP(H81,'SO-DIMM-i5'!A:A,'SO-DIMM-i5'!B:B,_xlfn.XLOOKUP(H81,'SO-DIMM-i5'!H:H,'SO-DIMM-i5'!G:G,""))</f>
        <v/>
      </c>
    </row>
    <row r="82" spans="1:9" hidden="1" x14ac:dyDescent="0.25">
      <c r="A82">
        <v>81</v>
      </c>
      <c r="B82" t="s">
        <v>291</v>
      </c>
      <c r="C82">
        <v>6</v>
      </c>
      <c r="D82" t="s">
        <v>139</v>
      </c>
      <c r="E82" t="s">
        <v>292</v>
      </c>
      <c r="F82" t="s">
        <v>139</v>
      </c>
      <c r="G82" t="s">
        <v>280</v>
      </c>
      <c r="H82" t="s">
        <v>293</v>
      </c>
      <c r="I82" t="str">
        <f>_xlfn.XLOOKUP(H82,'SO-DIMM-i5'!A:A,'SO-DIMM-i5'!B:B,_xlfn.XLOOKUP(H82,'SO-DIMM-i5'!H:H,'SO-DIMM-i5'!G:G,""))</f>
        <v/>
      </c>
    </row>
    <row r="83" spans="1:9" x14ac:dyDescent="0.25">
      <c r="A83">
        <v>82</v>
      </c>
      <c r="B83" t="s">
        <v>294</v>
      </c>
      <c r="C83">
        <v>6</v>
      </c>
      <c r="D83" t="s">
        <v>139</v>
      </c>
      <c r="E83" t="s">
        <v>295</v>
      </c>
      <c r="F83" t="b">
        <v>1</v>
      </c>
      <c r="G83" t="s">
        <v>280</v>
      </c>
      <c r="H83" t="s">
        <v>49</v>
      </c>
      <c r="I83">
        <f>_xlfn.XLOOKUP(H83,'SO-DIMM-i5'!A:A,'SO-DIMM-i5'!B:B,_xlfn.XLOOKUP(H83,'SO-DIMM-i5'!H:H,'SO-DIMM-i5'!G:G,""))</f>
        <v>64</v>
      </c>
    </row>
    <row r="84" spans="1:9" hidden="1" x14ac:dyDescent="0.25">
      <c r="A84">
        <v>83</v>
      </c>
      <c r="B84" t="s">
        <v>161</v>
      </c>
      <c r="C84" t="s">
        <v>139</v>
      </c>
      <c r="D84" t="s">
        <v>139</v>
      </c>
      <c r="E84" t="s">
        <v>139</v>
      </c>
      <c r="F84" t="s">
        <v>139</v>
      </c>
      <c r="G84" t="s">
        <v>139</v>
      </c>
      <c r="H84" t="s">
        <v>139</v>
      </c>
      <c r="I84" t="str">
        <f>_xlfn.XLOOKUP(H84,'SO-DIMM-i5'!A:A,'SO-DIMM-i5'!B:B,_xlfn.XLOOKUP(H84,'SO-DIMM-i5'!H:H,'SO-DIMM-i5'!G:G,""))</f>
        <v/>
      </c>
    </row>
    <row r="85" spans="1:9" hidden="1" x14ac:dyDescent="0.25">
      <c r="A85">
        <v>84</v>
      </c>
      <c r="B85" t="s">
        <v>296</v>
      </c>
      <c r="C85">
        <v>6</v>
      </c>
      <c r="D85" t="s">
        <v>139</v>
      </c>
      <c r="E85" t="s">
        <v>297</v>
      </c>
      <c r="F85" t="s">
        <v>139</v>
      </c>
      <c r="G85" t="s">
        <v>280</v>
      </c>
      <c r="H85" t="s">
        <v>298</v>
      </c>
      <c r="I85" t="str">
        <f>_xlfn.XLOOKUP(H85,'SO-DIMM-i5'!A:A,'SO-DIMM-i5'!B:B,_xlfn.XLOOKUP(H85,'SO-DIMM-i5'!H:H,'SO-DIMM-i5'!G:G,""))</f>
        <v/>
      </c>
    </row>
    <row r="86" spans="1:9" x14ac:dyDescent="0.25">
      <c r="A86">
        <v>85</v>
      </c>
      <c r="B86" t="s">
        <v>299</v>
      </c>
      <c r="C86">
        <v>6</v>
      </c>
      <c r="D86" t="s">
        <v>139</v>
      </c>
      <c r="E86" t="s">
        <v>300</v>
      </c>
      <c r="F86" t="b">
        <v>1</v>
      </c>
      <c r="G86" t="s">
        <v>301</v>
      </c>
      <c r="H86" t="s">
        <v>43</v>
      </c>
      <c r="I86">
        <f>_xlfn.XLOOKUP(H86,'SO-DIMM-i5'!A:A,'SO-DIMM-i5'!B:B,_xlfn.XLOOKUP(H86,'SO-DIMM-i5'!H:H,'SO-DIMM-i5'!G:G,""))</f>
        <v>58</v>
      </c>
    </row>
    <row r="87" spans="1:9" hidden="1" x14ac:dyDescent="0.25">
      <c r="A87">
        <v>86</v>
      </c>
      <c r="B87" t="s">
        <v>167</v>
      </c>
      <c r="C87" t="s">
        <v>139</v>
      </c>
      <c r="D87" t="s">
        <v>139</v>
      </c>
      <c r="E87" t="s">
        <v>139</v>
      </c>
      <c r="F87" t="s">
        <v>139</v>
      </c>
      <c r="G87" t="s">
        <v>139</v>
      </c>
      <c r="H87" t="s">
        <v>139</v>
      </c>
      <c r="I87" t="str">
        <f>_xlfn.XLOOKUP(H87,'SO-DIMM-i5'!A:A,'SO-DIMM-i5'!B:B,_xlfn.XLOOKUP(H87,'SO-DIMM-i5'!H:H,'SO-DIMM-i5'!G:G,""))</f>
        <v/>
      </c>
    </row>
    <row r="88" spans="1:9" hidden="1" x14ac:dyDescent="0.25">
      <c r="A88">
        <v>87</v>
      </c>
      <c r="B88" t="s">
        <v>302</v>
      </c>
      <c r="C88">
        <v>6</v>
      </c>
      <c r="D88" t="s">
        <v>139</v>
      </c>
      <c r="E88" t="s">
        <v>303</v>
      </c>
      <c r="F88" t="s">
        <v>139</v>
      </c>
      <c r="G88" t="s">
        <v>280</v>
      </c>
      <c r="H88" t="s">
        <v>304</v>
      </c>
      <c r="I88" t="str">
        <f>_xlfn.XLOOKUP(H88,'SO-DIMM-i5'!A:A,'SO-DIMM-i5'!B:B,_xlfn.XLOOKUP(H88,'SO-DIMM-i5'!H:H,'SO-DIMM-i5'!G:G,""))</f>
        <v/>
      </c>
    </row>
    <row r="89" spans="1:9" x14ac:dyDescent="0.25">
      <c r="A89">
        <v>88</v>
      </c>
      <c r="B89" t="s">
        <v>305</v>
      </c>
      <c r="C89">
        <v>6</v>
      </c>
      <c r="D89" t="s">
        <v>139</v>
      </c>
      <c r="E89" t="s">
        <v>306</v>
      </c>
      <c r="F89" t="b">
        <v>1</v>
      </c>
      <c r="G89" t="s">
        <v>307</v>
      </c>
      <c r="H89" t="s">
        <v>41</v>
      </c>
      <c r="I89">
        <f>_xlfn.XLOOKUP(H89,'SO-DIMM-i5'!A:A,'SO-DIMM-i5'!B:B,_xlfn.XLOOKUP(H89,'SO-DIMM-i5'!H:H,'SO-DIMM-i5'!G:G,""))</f>
        <v>54</v>
      </c>
    </row>
    <row r="90" spans="1:9" hidden="1" x14ac:dyDescent="0.25">
      <c r="A90">
        <v>89</v>
      </c>
      <c r="B90" t="s">
        <v>161</v>
      </c>
      <c r="C90" t="s">
        <v>139</v>
      </c>
      <c r="D90" t="s">
        <v>139</v>
      </c>
      <c r="E90" t="s">
        <v>139</v>
      </c>
      <c r="F90" t="s">
        <v>139</v>
      </c>
      <c r="G90" t="s">
        <v>139</v>
      </c>
      <c r="H90" t="s">
        <v>139</v>
      </c>
      <c r="I90" t="str">
        <f>_xlfn.XLOOKUP(H90,'SO-DIMM-i5'!A:A,'SO-DIMM-i5'!B:B,_xlfn.XLOOKUP(H90,'SO-DIMM-i5'!H:H,'SO-DIMM-i5'!G:G,""))</f>
        <v/>
      </c>
    </row>
    <row r="91" spans="1:9" hidden="1" x14ac:dyDescent="0.25">
      <c r="A91">
        <v>90</v>
      </c>
      <c r="B91" t="s">
        <v>308</v>
      </c>
      <c r="C91">
        <v>6</v>
      </c>
      <c r="D91" t="s">
        <v>139</v>
      </c>
      <c r="E91" t="s">
        <v>309</v>
      </c>
      <c r="F91" t="s">
        <v>139</v>
      </c>
      <c r="G91" t="s">
        <v>280</v>
      </c>
      <c r="H91" t="s">
        <v>310</v>
      </c>
      <c r="I91" t="str">
        <f>_xlfn.XLOOKUP(H91,'SO-DIMM-i5'!A:A,'SO-DIMM-i5'!B:B,_xlfn.XLOOKUP(H91,'SO-DIMM-i5'!H:H,'SO-DIMM-i5'!G:G,""))</f>
        <v/>
      </c>
    </row>
    <row r="92" spans="1:9" hidden="1" x14ac:dyDescent="0.25">
      <c r="A92">
        <v>91</v>
      </c>
      <c r="B92" t="s">
        <v>311</v>
      </c>
      <c r="C92">
        <v>6</v>
      </c>
      <c r="D92" t="s">
        <v>139</v>
      </c>
      <c r="E92" t="s">
        <v>312</v>
      </c>
      <c r="F92" t="b">
        <v>1</v>
      </c>
      <c r="G92" t="s">
        <v>280</v>
      </c>
      <c r="H92" t="s">
        <v>313</v>
      </c>
      <c r="I92" t="str">
        <f>_xlfn.XLOOKUP(H92,'SO-DIMM-i5'!A:A,'SO-DIMM-i5'!B:B,_xlfn.XLOOKUP(H92,'SO-DIMM-i5'!H:H,'SO-DIMM-i5'!G:G,""))</f>
        <v/>
      </c>
    </row>
    <row r="93" spans="1:9" hidden="1" x14ac:dyDescent="0.25">
      <c r="A93">
        <v>92</v>
      </c>
      <c r="B93" t="s">
        <v>231</v>
      </c>
      <c r="C93" t="s">
        <v>139</v>
      </c>
      <c r="D93" t="s">
        <v>139</v>
      </c>
      <c r="E93" t="s">
        <v>139</v>
      </c>
      <c r="F93" t="s">
        <v>139</v>
      </c>
      <c r="G93" t="s">
        <v>139</v>
      </c>
      <c r="H93" t="s">
        <v>139</v>
      </c>
      <c r="I93" t="str">
        <f>_xlfn.XLOOKUP(H93,'SO-DIMM-i5'!A:A,'SO-DIMM-i5'!B:B,_xlfn.XLOOKUP(H93,'SO-DIMM-i5'!H:H,'SO-DIMM-i5'!G:G,""))</f>
        <v/>
      </c>
    </row>
    <row r="94" spans="1:9" hidden="1" x14ac:dyDescent="0.25">
      <c r="A94">
        <v>93</v>
      </c>
      <c r="B94" t="s">
        <v>314</v>
      </c>
      <c r="C94">
        <v>6</v>
      </c>
      <c r="D94" t="s">
        <v>139</v>
      </c>
      <c r="E94" t="s">
        <v>315</v>
      </c>
      <c r="F94" t="b">
        <v>1</v>
      </c>
      <c r="G94" t="s">
        <v>280</v>
      </c>
      <c r="H94" t="s">
        <v>316</v>
      </c>
      <c r="I94" t="str">
        <f>_xlfn.XLOOKUP(H94,'SO-DIMM-i5'!A:A,'SO-DIMM-i5'!B:B,_xlfn.XLOOKUP(H94,'SO-DIMM-i5'!H:H,'SO-DIMM-i5'!G:G,""))</f>
        <v/>
      </c>
    </row>
    <row r="95" spans="1:9" hidden="1" x14ac:dyDescent="0.25">
      <c r="A95">
        <v>94</v>
      </c>
      <c r="B95" t="s">
        <v>239</v>
      </c>
      <c r="C95" t="s">
        <v>139</v>
      </c>
      <c r="D95" t="s">
        <v>139</v>
      </c>
      <c r="E95" t="s">
        <v>139</v>
      </c>
      <c r="F95" t="s">
        <v>139</v>
      </c>
      <c r="G95" t="s">
        <v>139</v>
      </c>
      <c r="H95" t="s">
        <v>139</v>
      </c>
      <c r="I95" t="str">
        <f>_xlfn.XLOOKUP(H95,'SO-DIMM-i5'!A:A,'SO-DIMM-i5'!B:B,_xlfn.XLOOKUP(H95,'SO-DIMM-i5'!H:H,'SO-DIMM-i5'!G:G,""))</f>
        <v/>
      </c>
    </row>
    <row r="96" spans="1:9" hidden="1" x14ac:dyDescent="0.25">
      <c r="A96">
        <v>95</v>
      </c>
      <c r="B96" t="s">
        <v>317</v>
      </c>
      <c r="C96">
        <v>6</v>
      </c>
      <c r="D96" t="s">
        <v>318</v>
      </c>
      <c r="E96" t="s">
        <v>319</v>
      </c>
      <c r="F96" t="s">
        <v>139</v>
      </c>
      <c r="G96" t="s">
        <v>280</v>
      </c>
      <c r="H96" t="s">
        <v>320</v>
      </c>
      <c r="I96" t="str">
        <f>_xlfn.XLOOKUP(H96,'SO-DIMM-i5'!A:A,'SO-DIMM-i5'!B:B,_xlfn.XLOOKUP(H96,'SO-DIMM-i5'!H:H,'SO-DIMM-i5'!G:G,""))</f>
        <v/>
      </c>
    </row>
    <row r="97" spans="1:9" hidden="1" x14ac:dyDescent="0.25">
      <c r="A97">
        <v>96</v>
      </c>
      <c r="B97" t="s">
        <v>321</v>
      </c>
      <c r="C97">
        <v>6</v>
      </c>
      <c r="D97" t="s">
        <v>322</v>
      </c>
      <c r="E97" t="s">
        <v>323</v>
      </c>
      <c r="F97" t="s">
        <v>139</v>
      </c>
      <c r="G97" t="s">
        <v>280</v>
      </c>
      <c r="H97" t="s">
        <v>324</v>
      </c>
      <c r="I97" t="str">
        <f>_xlfn.XLOOKUP(H97,'SO-DIMM-i5'!A:A,'SO-DIMM-i5'!B:B,_xlfn.XLOOKUP(H97,'SO-DIMM-i5'!H:H,'SO-DIMM-i5'!G:G,""))</f>
        <v/>
      </c>
    </row>
    <row r="98" spans="1:9" hidden="1" x14ac:dyDescent="0.25">
      <c r="A98">
        <v>97</v>
      </c>
      <c r="B98" t="s">
        <v>12</v>
      </c>
      <c r="C98" t="s">
        <v>139</v>
      </c>
      <c r="D98" t="s">
        <v>139</v>
      </c>
      <c r="E98" t="s">
        <v>139</v>
      </c>
      <c r="F98" t="s">
        <v>139</v>
      </c>
      <c r="G98" t="s">
        <v>139</v>
      </c>
      <c r="H98" t="s">
        <v>139</v>
      </c>
      <c r="I98" t="str">
        <f>_xlfn.XLOOKUP(H98,'SO-DIMM-i5'!A:A,'SO-DIMM-i5'!B:B,_xlfn.XLOOKUP(H98,'SO-DIMM-i5'!H:H,'SO-DIMM-i5'!G:G,""))</f>
        <v/>
      </c>
    </row>
    <row r="99" spans="1:9" hidden="1" x14ac:dyDescent="0.25">
      <c r="A99">
        <v>98</v>
      </c>
      <c r="B99" t="s">
        <v>12</v>
      </c>
      <c r="C99" t="s">
        <v>139</v>
      </c>
      <c r="D99" t="s">
        <v>139</v>
      </c>
      <c r="E99" t="s">
        <v>139</v>
      </c>
      <c r="F99" t="s">
        <v>139</v>
      </c>
      <c r="G99" t="s">
        <v>139</v>
      </c>
      <c r="H99" t="s">
        <v>139</v>
      </c>
      <c r="I99" t="str">
        <f>_xlfn.XLOOKUP(H99,'SO-DIMM-i5'!A:A,'SO-DIMM-i5'!B:B,_xlfn.XLOOKUP(H99,'SO-DIMM-i5'!H:H,'SO-DIMM-i5'!G:G,""))</f>
        <v/>
      </c>
    </row>
    <row r="100" spans="1:9" hidden="1" x14ac:dyDescent="0.25">
      <c r="A100">
        <v>99</v>
      </c>
      <c r="B100" t="s">
        <v>4</v>
      </c>
      <c r="C100" t="s">
        <v>139</v>
      </c>
      <c r="D100" t="s">
        <v>139</v>
      </c>
      <c r="E100" t="s">
        <v>139</v>
      </c>
      <c r="F100" t="s">
        <v>139</v>
      </c>
      <c r="G100" t="s">
        <v>139</v>
      </c>
      <c r="H100" t="s">
        <v>139</v>
      </c>
      <c r="I100" t="str">
        <f>_xlfn.XLOOKUP(H100,'SO-DIMM-i5'!A:A,'SO-DIMM-i5'!B:B,_xlfn.XLOOKUP(H100,'SO-DIMM-i5'!H:H,'SO-DIMM-i5'!G:G,""))</f>
        <v/>
      </c>
    </row>
    <row r="101" spans="1:9" hidden="1" x14ac:dyDescent="0.25">
      <c r="A101">
        <v>100</v>
      </c>
      <c r="B101" t="s">
        <v>167</v>
      </c>
      <c r="C101" t="s">
        <v>139</v>
      </c>
      <c r="D101" t="s">
        <v>139</v>
      </c>
      <c r="E101" t="s">
        <v>139</v>
      </c>
      <c r="F101" t="s">
        <v>139</v>
      </c>
      <c r="G101" t="s">
        <v>139</v>
      </c>
      <c r="H101" t="s">
        <v>139</v>
      </c>
      <c r="I101" t="str">
        <f>_xlfn.XLOOKUP(H101,'SO-DIMM-i5'!A:A,'SO-DIMM-i5'!B:B,_xlfn.XLOOKUP(H101,'SO-DIMM-i5'!H:H,'SO-DIMM-i5'!G:G,""))</f>
        <v/>
      </c>
    </row>
    <row r="102" spans="1:9" hidden="1" x14ac:dyDescent="0.25">
      <c r="A102">
        <v>101</v>
      </c>
      <c r="B102" t="s">
        <v>167</v>
      </c>
      <c r="C102" t="s">
        <v>139</v>
      </c>
      <c r="D102" t="s">
        <v>139</v>
      </c>
      <c r="E102" t="s">
        <v>139</v>
      </c>
      <c r="F102" t="s">
        <v>139</v>
      </c>
      <c r="G102" t="s">
        <v>139</v>
      </c>
      <c r="H102" t="s">
        <v>139</v>
      </c>
      <c r="I102" t="str">
        <f>_xlfn.XLOOKUP(H102,'SO-DIMM-i5'!A:A,'SO-DIMM-i5'!B:B,_xlfn.XLOOKUP(H102,'SO-DIMM-i5'!H:H,'SO-DIMM-i5'!G:G,""))</f>
        <v/>
      </c>
    </row>
    <row r="103" spans="1:9" hidden="1" x14ac:dyDescent="0.25">
      <c r="A103">
        <v>102</v>
      </c>
      <c r="B103" t="s">
        <v>161</v>
      </c>
      <c r="C103" t="s">
        <v>139</v>
      </c>
      <c r="D103" t="s">
        <v>139</v>
      </c>
      <c r="E103" t="s">
        <v>139</v>
      </c>
      <c r="F103" t="s">
        <v>139</v>
      </c>
      <c r="G103" t="s">
        <v>139</v>
      </c>
      <c r="H103" t="s">
        <v>139</v>
      </c>
      <c r="I103" t="str">
        <f>_xlfn.XLOOKUP(H103,'SO-DIMM-i5'!A:A,'SO-DIMM-i5'!B:B,_xlfn.XLOOKUP(H103,'SO-DIMM-i5'!H:H,'SO-DIMM-i5'!G:G,""))</f>
        <v/>
      </c>
    </row>
    <row r="104" spans="1:9" x14ac:dyDescent="0.25">
      <c r="A104">
        <v>103</v>
      </c>
      <c r="B104" t="s">
        <v>325</v>
      </c>
      <c r="C104">
        <v>8</v>
      </c>
      <c r="D104" t="s">
        <v>326</v>
      </c>
      <c r="E104" t="s">
        <v>327</v>
      </c>
      <c r="F104" t="s">
        <v>139</v>
      </c>
      <c r="G104" t="s">
        <v>139</v>
      </c>
      <c r="H104" t="s">
        <v>33</v>
      </c>
      <c r="I104">
        <f>_xlfn.XLOOKUP(H104,'SO-DIMM-i5'!A:A,'SO-DIMM-i5'!B:B,_xlfn.XLOOKUP(H104,'SO-DIMM-i5'!H:H,'SO-DIMM-i5'!G:G,""))</f>
        <v>42</v>
      </c>
    </row>
    <row r="105" spans="1:9" x14ac:dyDescent="0.25">
      <c r="A105">
        <v>104</v>
      </c>
      <c r="B105" t="s">
        <v>328</v>
      </c>
      <c r="C105">
        <v>8</v>
      </c>
      <c r="D105" t="s">
        <v>329</v>
      </c>
      <c r="E105" t="s">
        <v>330</v>
      </c>
      <c r="F105" t="s">
        <v>139</v>
      </c>
      <c r="G105" t="s">
        <v>139</v>
      </c>
      <c r="H105" t="s">
        <v>35</v>
      </c>
      <c r="I105">
        <f>_xlfn.XLOOKUP(H105,'SO-DIMM-i5'!A:A,'SO-DIMM-i5'!B:B,_xlfn.XLOOKUP(H105,'SO-DIMM-i5'!H:H,'SO-DIMM-i5'!G:G,""))</f>
        <v>46</v>
      </c>
    </row>
    <row r="106" spans="1:9" hidden="1" x14ac:dyDescent="0.25">
      <c r="A106">
        <v>105</v>
      </c>
      <c r="B106" t="s">
        <v>167</v>
      </c>
      <c r="C106" t="s">
        <v>139</v>
      </c>
      <c r="D106" t="s">
        <v>139</v>
      </c>
      <c r="E106" t="s">
        <v>139</v>
      </c>
      <c r="F106" t="s">
        <v>139</v>
      </c>
      <c r="G106" t="s">
        <v>139</v>
      </c>
      <c r="H106" t="s">
        <v>139</v>
      </c>
      <c r="I106" t="str">
        <f>_xlfn.XLOOKUP(H106,'SO-DIMM-i5'!A:A,'SO-DIMM-i5'!B:B,_xlfn.XLOOKUP(H106,'SO-DIMM-i5'!H:H,'SO-DIMM-i5'!G:G,""))</f>
        <v/>
      </c>
    </row>
    <row r="107" spans="1:9" x14ac:dyDescent="0.25">
      <c r="A107">
        <v>106</v>
      </c>
      <c r="B107" t="s">
        <v>331</v>
      </c>
      <c r="C107">
        <v>8</v>
      </c>
      <c r="D107" t="s">
        <v>332</v>
      </c>
      <c r="E107" t="s">
        <v>333</v>
      </c>
      <c r="F107" t="s">
        <v>139</v>
      </c>
      <c r="G107" t="s">
        <v>139</v>
      </c>
      <c r="H107" t="s">
        <v>34</v>
      </c>
      <c r="I107">
        <f>_xlfn.XLOOKUP(H107,'SO-DIMM-i5'!A:A,'SO-DIMM-i5'!B:B,_xlfn.XLOOKUP(H107,'SO-DIMM-i5'!H:H,'SO-DIMM-i5'!G:G,""))</f>
        <v>44</v>
      </c>
    </row>
    <row r="108" spans="1:9" x14ac:dyDescent="0.25">
      <c r="A108">
        <v>107</v>
      </c>
      <c r="B108" t="s">
        <v>334</v>
      </c>
      <c r="C108">
        <v>8</v>
      </c>
      <c r="D108" t="s">
        <v>335</v>
      </c>
      <c r="E108" t="s">
        <v>336</v>
      </c>
      <c r="F108" t="s">
        <v>139</v>
      </c>
      <c r="G108" t="s">
        <v>139</v>
      </c>
      <c r="H108" t="s">
        <v>40</v>
      </c>
      <c r="I108">
        <f>_xlfn.XLOOKUP(H108,'SO-DIMM-i5'!A:A,'SO-DIMM-i5'!B:B,_xlfn.XLOOKUP(H108,'SO-DIMM-i5'!H:H,'SO-DIMM-i5'!G:G,""))</f>
        <v>52</v>
      </c>
    </row>
    <row r="109" spans="1:9" hidden="1" x14ac:dyDescent="0.25">
      <c r="A109">
        <v>108</v>
      </c>
      <c r="B109" t="s">
        <v>161</v>
      </c>
      <c r="C109" t="s">
        <v>139</v>
      </c>
      <c r="D109" t="s">
        <v>139</v>
      </c>
      <c r="E109" t="s">
        <v>139</v>
      </c>
      <c r="F109" t="s">
        <v>139</v>
      </c>
      <c r="G109" t="s">
        <v>139</v>
      </c>
      <c r="H109" t="s">
        <v>139</v>
      </c>
      <c r="I109" t="str">
        <f>_xlfn.XLOOKUP(H109,'SO-DIMM-i5'!A:A,'SO-DIMM-i5'!B:B,_xlfn.XLOOKUP(H109,'SO-DIMM-i5'!H:H,'SO-DIMM-i5'!G:G,""))</f>
        <v/>
      </c>
    </row>
    <row r="110" spans="1:9" x14ac:dyDescent="0.25">
      <c r="A110">
        <v>109</v>
      </c>
      <c r="B110" t="s">
        <v>337</v>
      </c>
      <c r="C110">
        <v>8</v>
      </c>
      <c r="D110" t="s">
        <v>338</v>
      </c>
      <c r="E110" t="s">
        <v>339</v>
      </c>
      <c r="F110" t="s">
        <v>139</v>
      </c>
      <c r="G110" t="s">
        <v>139</v>
      </c>
      <c r="H110" t="s">
        <v>38</v>
      </c>
      <c r="I110">
        <f>_xlfn.XLOOKUP(H110,'SO-DIMM-i5'!A:A,'SO-DIMM-i5'!B:B,_xlfn.XLOOKUP(H110,'SO-DIMM-i5'!H:H,'SO-DIMM-i5'!G:G,""))</f>
        <v>50</v>
      </c>
    </row>
    <row r="111" spans="1:9" hidden="1" x14ac:dyDescent="0.25">
      <c r="A111">
        <v>110</v>
      </c>
      <c r="B111" t="s">
        <v>340</v>
      </c>
      <c r="C111">
        <v>8</v>
      </c>
      <c r="D111" t="s">
        <v>341</v>
      </c>
      <c r="E111" t="s">
        <v>342</v>
      </c>
      <c r="F111" t="s">
        <v>139</v>
      </c>
      <c r="G111" t="s">
        <v>139</v>
      </c>
      <c r="H111" t="s">
        <v>343</v>
      </c>
      <c r="I111" t="str">
        <f>_xlfn.XLOOKUP(H111,'SO-DIMM-i5'!A:A,'SO-DIMM-i5'!B:B,_xlfn.XLOOKUP(H111,'SO-DIMM-i5'!H:H,'SO-DIMM-i5'!G:G,""))</f>
        <v/>
      </c>
    </row>
    <row r="112" spans="1:9" hidden="1" x14ac:dyDescent="0.25">
      <c r="A112">
        <v>111</v>
      </c>
      <c r="B112" t="s">
        <v>344</v>
      </c>
      <c r="C112" t="s">
        <v>139</v>
      </c>
      <c r="D112" t="s">
        <v>139</v>
      </c>
      <c r="E112" t="s">
        <v>139</v>
      </c>
      <c r="F112" t="s">
        <v>139</v>
      </c>
      <c r="G112" t="s">
        <v>139</v>
      </c>
      <c r="H112" t="s">
        <v>139</v>
      </c>
      <c r="I112" t="str">
        <f>_xlfn.XLOOKUP(H112,'SO-DIMM-i5'!A:A,'SO-DIMM-i5'!B:B,_xlfn.XLOOKUP(H112,'SO-DIMM-i5'!H:H,'SO-DIMM-i5'!G:G,""))</f>
        <v/>
      </c>
    </row>
    <row r="113" spans="1:9" x14ac:dyDescent="0.25">
      <c r="A113">
        <v>112</v>
      </c>
      <c r="B113" t="s">
        <v>345</v>
      </c>
      <c r="C113">
        <v>8</v>
      </c>
      <c r="D113" t="s">
        <v>346</v>
      </c>
      <c r="E113" t="s">
        <v>347</v>
      </c>
      <c r="F113" t="s">
        <v>139</v>
      </c>
      <c r="G113" t="s">
        <v>139</v>
      </c>
      <c r="H113" t="s">
        <v>36</v>
      </c>
      <c r="I113">
        <f>_xlfn.XLOOKUP(H113,'SO-DIMM-i5'!A:A,'SO-DIMM-i5'!B:B,_xlfn.XLOOKUP(H113,'SO-DIMM-i5'!H:H,'SO-DIMM-i5'!G:G,""))</f>
        <v>48</v>
      </c>
    </row>
    <row r="114" spans="1:9" hidden="1" x14ac:dyDescent="0.25">
      <c r="A114">
        <v>113</v>
      </c>
      <c r="B114" t="s">
        <v>348</v>
      </c>
      <c r="C114">
        <v>8</v>
      </c>
      <c r="D114" t="s">
        <v>349</v>
      </c>
      <c r="E114" t="s">
        <v>350</v>
      </c>
      <c r="F114" t="s">
        <v>139</v>
      </c>
      <c r="G114" t="s">
        <v>139</v>
      </c>
      <c r="H114" t="s">
        <v>351</v>
      </c>
      <c r="I114" t="str">
        <f>_xlfn.XLOOKUP(H114,'SO-DIMM-i5'!A:A,'SO-DIMM-i5'!B:B,_xlfn.XLOOKUP(H114,'SO-DIMM-i5'!H:H,'SO-DIMM-i5'!G:G,""))</f>
        <v/>
      </c>
    </row>
    <row r="115" spans="1:9" hidden="1" x14ac:dyDescent="0.25">
      <c r="A115">
        <v>114</v>
      </c>
      <c r="B115" t="s">
        <v>352</v>
      </c>
      <c r="C115" t="s">
        <v>139</v>
      </c>
      <c r="D115" t="s">
        <v>139</v>
      </c>
      <c r="E115" t="s">
        <v>139</v>
      </c>
      <c r="F115" t="s">
        <v>139</v>
      </c>
      <c r="G115" t="s">
        <v>139</v>
      </c>
      <c r="H115" t="s">
        <v>139</v>
      </c>
      <c r="I115" t="str">
        <f>_xlfn.XLOOKUP(H115,'SO-DIMM-i5'!A:A,'SO-DIMM-i5'!B:B,_xlfn.XLOOKUP(H115,'SO-DIMM-i5'!H:H,'SO-DIMM-i5'!G:G,""))</f>
        <v/>
      </c>
    </row>
    <row r="116" spans="1:9" x14ac:dyDescent="0.25">
      <c r="A116">
        <v>115</v>
      </c>
      <c r="B116" t="s">
        <v>353</v>
      </c>
      <c r="C116">
        <v>8</v>
      </c>
      <c r="D116" t="s">
        <v>354</v>
      </c>
      <c r="E116" t="s">
        <v>355</v>
      </c>
      <c r="F116" t="s">
        <v>139</v>
      </c>
      <c r="G116" t="s">
        <v>139</v>
      </c>
      <c r="H116" t="s">
        <v>47</v>
      </c>
      <c r="I116">
        <f>_xlfn.XLOOKUP(H116,'SO-DIMM-i5'!A:A,'SO-DIMM-i5'!B:B,_xlfn.XLOOKUP(H116,'SO-DIMM-i5'!H:H,'SO-DIMM-i5'!G:G,""))</f>
        <v>62</v>
      </c>
    </row>
    <row r="117" spans="1:9" hidden="1" x14ac:dyDescent="0.25">
      <c r="A117">
        <v>116</v>
      </c>
      <c r="B117" t="s">
        <v>356</v>
      </c>
      <c r="C117">
        <v>8</v>
      </c>
      <c r="D117" t="s">
        <v>357</v>
      </c>
      <c r="E117" t="s">
        <v>358</v>
      </c>
      <c r="F117" t="s">
        <v>139</v>
      </c>
      <c r="G117" t="s">
        <v>139</v>
      </c>
      <c r="H117" t="s">
        <v>359</v>
      </c>
      <c r="I117" t="str">
        <f>_xlfn.XLOOKUP(H117,'SO-DIMM-i5'!A:A,'SO-DIMM-i5'!B:B,_xlfn.XLOOKUP(H117,'SO-DIMM-i5'!H:H,'SO-DIMM-i5'!G:G,""))</f>
        <v/>
      </c>
    </row>
    <row r="118" spans="1:9" hidden="1" x14ac:dyDescent="0.25">
      <c r="A118">
        <v>117</v>
      </c>
      <c r="B118" t="s">
        <v>344</v>
      </c>
      <c r="C118" t="s">
        <v>139</v>
      </c>
      <c r="D118" t="s">
        <v>139</v>
      </c>
      <c r="E118" t="s">
        <v>139</v>
      </c>
      <c r="F118" t="s">
        <v>139</v>
      </c>
      <c r="G118" t="s">
        <v>139</v>
      </c>
      <c r="H118" t="s">
        <v>139</v>
      </c>
      <c r="I118" t="str">
        <f>_xlfn.XLOOKUP(H118,'SO-DIMM-i5'!A:A,'SO-DIMM-i5'!B:B,_xlfn.XLOOKUP(H118,'SO-DIMM-i5'!H:H,'SO-DIMM-i5'!G:G,""))</f>
        <v/>
      </c>
    </row>
    <row r="119" spans="1:9" hidden="1" x14ac:dyDescent="0.25">
      <c r="A119">
        <v>118</v>
      </c>
      <c r="B119" t="s">
        <v>360</v>
      </c>
      <c r="C119">
        <v>8</v>
      </c>
      <c r="D119" t="s">
        <v>361</v>
      </c>
      <c r="E119" t="s">
        <v>362</v>
      </c>
      <c r="F119" t="s">
        <v>139</v>
      </c>
      <c r="G119" t="s">
        <v>139</v>
      </c>
      <c r="H119" t="s">
        <v>363</v>
      </c>
      <c r="I119" t="str">
        <f>_xlfn.XLOOKUP(H119,'SO-DIMM-i5'!A:A,'SO-DIMM-i5'!B:B,_xlfn.XLOOKUP(H119,'SO-DIMM-i5'!H:H,'SO-DIMM-i5'!G:G,""))</f>
        <v/>
      </c>
    </row>
    <row r="120" spans="1:9" x14ac:dyDescent="0.25">
      <c r="A120">
        <v>119</v>
      </c>
      <c r="B120" t="s">
        <v>364</v>
      </c>
      <c r="C120">
        <v>8</v>
      </c>
      <c r="D120" t="s">
        <v>365</v>
      </c>
      <c r="E120" t="s">
        <v>366</v>
      </c>
      <c r="F120" t="s">
        <v>139</v>
      </c>
      <c r="G120" t="s">
        <v>139</v>
      </c>
      <c r="H120" t="s">
        <v>53</v>
      </c>
      <c r="I120">
        <f>_xlfn.XLOOKUP(H120,'SO-DIMM-i5'!A:A,'SO-DIMM-i5'!B:B,_xlfn.XLOOKUP(H120,'SO-DIMM-i5'!H:H,'SO-DIMM-i5'!G:G,""))</f>
        <v>68</v>
      </c>
    </row>
    <row r="121" spans="1:9" hidden="1" x14ac:dyDescent="0.25">
      <c r="A121">
        <v>120</v>
      </c>
      <c r="B121" t="s">
        <v>352</v>
      </c>
      <c r="C121" t="s">
        <v>139</v>
      </c>
      <c r="D121" t="s">
        <v>139</v>
      </c>
      <c r="E121" t="s">
        <v>139</v>
      </c>
      <c r="F121" t="s">
        <v>139</v>
      </c>
      <c r="G121" t="s">
        <v>139</v>
      </c>
      <c r="H121" t="s">
        <v>139</v>
      </c>
      <c r="I121" t="str">
        <f>_xlfn.XLOOKUP(H121,'SO-DIMM-i5'!A:A,'SO-DIMM-i5'!B:B,_xlfn.XLOOKUP(H121,'SO-DIMM-i5'!H:H,'SO-DIMM-i5'!G:G,""))</f>
        <v/>
      </c>
    </row>
    <row r="122" spans="1:9" x14ac:dyDescent="0.25">
      <c r="A122">
        <v>121</v>
      </c>
      <c r="B122" t="s">
        <v>367</v>
      </c>
      <c r="C122">
        <v>8</v>
      </c>
      <c r="D122" t="s">
        <v>368</v>
      </c>
      <c r="E122" t="s">
        <v>139</v>
      </c>
      <c r="F122" t="s">
        <v>139</v>
      </c>
      <c r="G122" t="s">
        <v>139</v>
      </c>
      <c r="H122" t="s">
        <v>51</v>
      </c>
      <c r="I122">
        <f>_xlfn.XLOOKUP(H122,'SO-DIMM-i5'!A:A,'SO-DIMM-i5'!B:B,_xlfn.XLOOKUP(H122,'SO-DIMM-i5'!H:H,'SO-DIMM-i5'!G:G,""))</f>
        <v>66</v>
      </c>
    </row>
    <row r="123" spans="1:9" hidden="1" x14ac:dyDescent="0.25">
      <c r="A123">
        <v>122</v>
      </c>
      <c r="B123" t="s">
        <v>369</v>
      </c>
      <c r="C123">
        <v>8</v>
      </c>
      <c r="D123" t="s">
        <v>139</v>
      </c>
      <c r="E123" t="s">
        <v>139</v>
      </c>
      <c r="F123" t="s">
        <v>139</v>
      </c>
      <c r="G123" t="s">
        <v>139</v>
      </c>
      <c r="H123" t="s">
        <v>370</v>
      </c>
      <c r="I123" t="str">
        <f>_xlfn.XLOOKUP(H123,'SO-DIMM-i5'!A:A,'SO-DIMM-i5'!B:B,_xlfn.XLOOKUP(H123,'SO-DIMM-i5'!H:H,'SO-DIMM-i5'!G:G,""))</f>
        <v/>
      </c>
    </row>
    <row r="124" spans="1:9" hidden="1" x14ac:dyDescent="0.25">
      <c r="A124">
        <v>123</v>
      </c>
      <c r="B124" t="s">
        <v>156</v>
      </c>
      <c r="C124" t="s">
        <v>139</v>
      </c>
      <c r="D124" t="s">
        <v>139</v>
      </c>
      <c r="E124" t="s">
        <v>139</v>
      </c>
      <c r="F124" t="s">
        <v>139</v>
      </c>
      <c r="G124" t="s">
        <v>139</v>
      </c>
      <c r="H124" t="s">
        <v>139</v>
      </c>
      <c r="I124" t="str">
        <f>_xlfn.XLOOKUP(H124,'SO-DIMM-i5'!A:A,'SO-DIMM-i5'!B:B,_xlfn.XLOOKUP(H124,'SO-DIMM-i5'!H:H,'SO-DIMM-i5'!G:G,""))</f>
        <v/>
      </c>
    </row>
    <row r="125" spans="1:9" hidden="1" x14ac:dyDescent="0.25">
      <c r="A125">
        <v>124</v>
      </c>
      <c r="B125" t="s">
        <v>371</v>
      </c>
      <c r="C125">
        <v>8</v>
      </c>
      <c r="D125" t="s">
        <v>372</v>
      </c>
      <c r="E125" t="s">
        <v>139</v>
      </c>
      <c r="F125" t="s">
        <v>139</v>
      </c>
      <c r="G125" t="s">
        <v>139</v>
      </c>
      <c r="H125" t="s">
        <v>373</v>
      </c>
      <c r="I125" t="str">
        <f>_xlfn.XLOOKUP(H125,'SO-DIMM-i5'!A:A,'SO-DIMM-i5'!B:B,_xlfn.XLOOKUP(H125,'SO-DIMM-i5'!H:H,'SO-DIMM-i5'!G:G,""))</f>
        <v/>
      </c>
    </row>
    <row r="126" spans="1:9" hidden="1" x14ac:dyDescent="0.25">
      <c r="A126">
        <v>125</v>
      </c>
      <c r="B126" t="s">
        <v>374</v>
      </c>
      <c r="C126">
        <v>8</v>
      </c>
      <c r="D126" t="s">
        <v>139</v>
      </c>
      <c r="E126" t="s">
        <v>139</v>
      </c>
      <c r="F126" t="s">
        <v>139</v>
      </c>
      <c r="G126" t="s">
        <v>139</v>
      </c>
      <c r="H126" t="s">
        <v>375</v>
      </c>
      <c r="I126" t="str">
        <f>_xlfn.XLOOKUP(H126,'SO-DIMM-i5'!A:A,'SO-DIMM-i5'!B:B,_xlfn.XLOOKUP(H126,'SO-DIMM-i5'!H:H,'SO-DIMM-i5'!G:G,""))</f>
        <v/>
      </c>
    </row>
    <row r="127" spans="1:9" hidden="1" x14ac:dyDescent="0.25">
      <c r="A127">
        <v>126</v>
      </c>
      <c r="B127" t="s">
        <v>161</v>
      </c>
      <c r="C127" t="s">
        <v>139</v>
      </c>
      <c r="D127" t="s">
        <v>139</v>
      </c>
      <c r="E127" t="s">
        <v>139</v>
      </c>
      <c r="F127" t="s">
        <v>139</v>
      </c>
      <c r="G127" t="s">
        <v>139</v>
      </c>
      <c r="H127" t="s">
        <v>139</v>
      </c>
      <c r="I127" t="str">
        <f>_xlfn.XLOOKUP(H127,'SO-DIMM-i5'!A:A,'SO-DIMM-i5'!B:B,_xlfn.XLOOKUP(H127,'SO-DIMM-i5'!H:H,'SO-DIMM-i5'!G:G,""))</f>
        <v/>
      </c>
    </row>
    <row r="128" spans="1:9" hidden="1" x14ac:dyDescent="0.25">
      <c r="A128">
        <v>127</v>
      </c>
      <c r="B128" t="s">
        <v>376</v>
      </c>
      <c r="C128">
        <v>8</v>
      </c>
      <c r="D128" t="s">
        <v>139</v>
      </c>
      <c r="E128" t="s">
        <v>139</v>
      </c>
      <c r="F128" t="s">
        <v>139</v>
      </c>
      <c r="G128" t="s">
        <v>139</v>
      </c>
      <c r="H128" t="s">
        <v>377</v>
      </c>
      <c r="I128" t="str">
        <f>_xlfn.XLOOKUP(H128,'SO-DIMM-i5'!A:A,'SO-DIMM-i5'!B:B,_xlfn.XLOOKUP(H128,'SO-DIMM-i5'!H:H,'SO-DIMM-i5'!G:G,""))</f>
        <v/>
      </c>
    </row>
    <row r="129" spans="1:9" hidden="1" x14ac:dyDescent="0.25">
      <c r="A129">
        <v>128</v>
      </c>
      <c r="B129" t="s">
        <v>378</v>
      </c>
      <c r="C129">
        <v>8</v>
      </c>
      <c r="D129" t="s">
        <v>139</v>
      </c>
      <c r="E129" t="s">
        <v>139</v>
      </c>
      <c r="F129" t="s">
        <v>139</v>
      </c>
      <c r="G129" t="s">
        <v>139</v>
      </c>
      <c r="H129" t="s">
        <v>379</v>
      </c>
      <c r="I129" t="str">
        <f>_xlfn.XLOOKUP(H129,'SO-DIMM-i5'!A:A,'SO-DIMM-i5'!B:B,_xlfn.XLOOKUP(H129,'SO-DIMM-i5'!H:H,'SO-DIMM-i5'!G:G,""))</f>
        <v/>
      </c>
    </row>
    <row r="130" spans="1:9" hidden="1" x14ac:dyDescent="0.25">
      <c r="A130">
        <v>129</v>
      </c>
      <c r="B130" t="s">
        <v>167</v>
      </c>
      <c r="C130" t="s">
        <v>139</v>
      </c>
      <c r="D130" t="s">
        <v>139</v>
      </c>
      <c r="E130" t="s">
        <v>139</v>
      </c>
      <c r="F130" t="s">
        <v>139</v>
      </c>
      <c r="G130" t="s">
        <v>139</v>
      </c>
      <c r="H130" t="s">
        <v>139</v>
      </c>
      <c r="I130" t="str">
        <f>_xlfn.XLOOKUP(H130,'SO-DIMM-i5'!A:A,'SO-DIMM-i5'!B:B,_xlfn.XLOOKUP(H130,'SO-DIMM-i5'!H:H,'SO-DIMM-i5'!G:G,""))</f>
        <v/>
      </c>
    </row>
    <row r="131" spans="1:9" hidden="1" x14ac:dyDescent="0.25">
      <c r="A131">
        <v>130</v>
      </c>
      <c r="B131" t="s">
        <v>380</v>
      </c>
      <c r="C131">
        <v>8</v>
      </c>
      <c r="D131" t="s">
        <v>139</v>
      </c>
      <c r="E131" t="s">
        <v>139</v>
      </c>
      <c r="F131" t="s">
        <v>139</v>
      </c>
      <c r="G131" t="s">
        <v>139</v>
      </c>
      <c r="H131" t="s">
        <v>381</v>
      </c>
      <c r="I131" t="str">
        <f>_xlfn.XLOOKUP(H131,'SO-DIMM-i5'!A:A,'SO-DIMM-i5'!B:B,_xlfn.XLOOKUP(H131,'SO-DIMM-i5'!H:H,'SO-DIMM-i5'!G:G,""))</f>
        <v/>
      </c>
    </row>
    <row r="132" spans="1:9" hidden="1" x14ac:dyDescent="0.25">
      <c r="A132">
        <v>131</v>
      </c>
      <c r="B132" t="s">
        <v>382</v>
      </c>
      <c r="C132">
        <v>8</v>
      </c>
      <c r="D132" t="s">
        <v>139</v>
      </c>
      <c r="E132" t="s">
        <v>139</v>
      </c>
      <c r="F132" t="s">
        <v>139</v>
      </c>
      <c r="G132" t="s">
        <v>139</v>
      </c>
      <c r="H132" t="s">
        <v>383</v>
      </c>
      <c r="I132" t="str">
        <f>_xlfn.XLOOKUP(H132,'SO-DIMM-i5'!A:A,'SO-DIMM-i5'!B:B,_xlfn.XLOOKUP(H132,'SO-DIMM-i5'!H:H,'SO-DIMM-i5'!G:G,""))</f>
        <v/>
      </c>
    </row>
    <row r="133" spans="1:9" hidden="1" x14ac:dyDescent="0.25">
      <c r="A133">
        <v>132</v>
      </c>
      <c r="B133" t="s">
        <v>161</v>
      </c>
      <c r="C133" t="s">
        <v>139</v>
      </c>
      <c r="D133" t="s">
        <v>139</v>
      </c>
      <c r="E133" t="s">
        <v>139</v>
      </c>
      <c r="F133" t="s">
        <v>139</v>
      </c>
      <c r="G133" t="s">
        <v>139</v>
      </c>
      <c r="H133" t="s">
        <v>139</v>
      </c>
      <c r="I133" t="str">
        <f>_xlfn.XLOOKUP(H133,'SO-DIMM-i5'!A:A,'SO-DIMM-i5'!B:B,_xlfn.XLOOKUP(H133,'SO-DIMM-i5'!H:H,'SO-DIMM-i5'!G:G,""))</f>
        <v/>
      </c>
    </row>
    <row r="134" spans="1:9" hidden="1" x14ac:dyDescent="0.25">
      <c r="A134">
        <v>133</v>
      </c>
      <c r="B134" t="s">
        <v>384</v>
      </c>
      <c r="C134">
        <v>40</v>
      </c>
      <c r="D134" t="s">
        <v>139</v>
      </c>
      <c r="E134" t="s">
        <v>139</v>
      </c>
      <c r="F134" t="s">
        <v>139</v>
      </c>
      <c r="G134" t="s">
        <v>139</v>
      </c>
      <c r="H134" t="s">
        <v>385</v>
      </c>
      <c r="I134" t="str">
        <f>_xlfn.XLOOKUP(H134,'SO-DIMM-i5'!A:A,'SO-DIMM-i5'!B:B,_xlfn.XLOOKUP(H134,'SO-DIMM-i5'!H:H,'SO-DIMM-i5'!G:G,""))</f>
        <v/>
      </c>
    </row>
    <row r="135" spans="1:9" hidden="1" x14ac:dyDescent="0.25">
      <c r="A135">
        <v>134</v>
      </c>
      <c r="B135" t="s">
        <v>386</v>
      </c>
      <c r="C135">
        <v>40</v>
      </c>
      <c r="D135" t="s">
        <v>139</v>
      </c>
      <c r="E135" t="s">
        <v>139</v>
      </c>
      <c r="F135" t="s">
        <v>139</v>
      </c>
      <c r="G135" t="s">
        <v>139</v>
      </c>
      <c r="H135" t="s">
        <v>387</v>
      </c>
      <c r="I135" t="str">
        <f>_xlfn.XLOOKUP(H135,'SO-DIMM-i5'!A:A,'SO-DIMM-i5'!B:B,_xlfn.XLOOKUP(H135,'SO-DIMM-i5'!H:H,'SO-DIMM-i5'!G:G,""))</f>
        <v/>
      </c>
    </row>
    <row r="136" spans="1:9" hidden="1" x14ac:dyDescent="0.25">
      <c r="A136">
        <v>135</v>
      </c>
      <c r="B136" t="s">
        <v>344</v>
      </c>
      <c r="C136" t="s">
        <v>139</v>
      </c>
      <c r="D136" t="s">
        <v>139</v>
      </c>
      <c r="E136" t="s">
        <v>139</v>
      </c>
      <c r="F136" t="s">
        <v>139</v>
      </c>
      <c r="G136" t="s">
        <v>139</v>
      </c>
      <c r="H136" t="s">
        <v>139</v>
      </c>
      <c r="I136" t="str">
        <f>_xlfn.XLOOKUP(H136,'SO-DIMM-i5'!A:A,'SO-DIMM-i5'!B:B,_xlfn.XLOOKUP(H136,'SO-DIMM-i5'!H:H,'SO-DIMM-i5'!G:G,""))</f>
        <v/>
      </c>
    </row>
    <row r="137" spans="1:9" hidden="1" x14ac:dyDescent="0.25">
      <c r="A137">
        <v>136</v>
      </c>
      <c r="B137" t="s">
        <v>388</v>
      </c>
      <c r="C137">
        <v>40</v>
      </c>
      <c r="D137" t="s">
        <v>139</v>
      </c>
      <c r="E137" t="s">
        <v>139</v>
      </c>
      <c r="F137" t="s">
        <v>139</v>
      </c>
      <c r="G137" t="s">
        <v>139</v>
      </c>
      <c r="H137" t="s">
        <v>389</v>
      </c>
      <c r="I137" t="str">
        <f>_xlfn.XLOOKUP(H137,'SO-DIMM-i5'!A:A,'SO-DIMM-i5'!B:B,_xlfn.XLOOKUP(H137,'SO-DIMM-i5'!H:H,'SO-DIMM-i5'!G:G,""))</f>
        <v/>
      </c>
    </row>
    <row r="138" spans="1:9" hidden="1" x14ac:dyDescent="0.25">
      <c r="A138">
        <v>137</v>
      </c>
      <c r="B138" t="s">
        <v>390</v>
      </c>
      <c r="C138">
        <v>40</v>
      </c>
      <c r="D138" t="s">
        <v>139</v>
      </c>
      <c r="E138" t="s">
        <v>139</v>
      </c>
      <c r="F138" t="s">
        <v>139</v>
      </c>
      <c r="G138" t="s">
        <v>139</v>
      </c>
      <c r="H138" t="s">
        <v>391</v>
      </c>
      <c r="I138" t="str">
        <f>_xlfn.XLOOKUP(H138,'SO-DIMM-i5'!A:A,'SO-DIMM-i5'!B:B,_xlfn.XLOOKUP(H138,'SO-DIMM-i5'!H:H,'SO-DIMM-i5'!G:G,""))</f>
        <v/>
      </c>
    </row>
    <row r="139" spans="1:9" hidden="1" x14ac:dyDescent="0.25">
      <c r="A139">
        <v>138</v>
      </c>
      <c r="B139" t="s">
        <v>352</v>
      </c>
      <c r="C139" t="s">
        <v>139</v>
      </c>
      <c r="D139" t="s">
        <v>139</v>
      </c>
      <c r="E139" t="s">
        <v>139</v>
      </c>
      <c r="F139" t="s">
        <v>139</v>
      </c>
      <c r="G139" t="s">
        <v>139</v>
      </c>
      <c r="H139" t="s">
        <v>139</v>
      </c>
      <c r="I139" t="str">
        <f>_xlfn.XLOOKUP(H139,'SO-DIMM-i5'!A:A,'SO-DIMM-i5'!B:B,_xlfn.XLOOKUP(H139,'SO-DIMM-i5'!H:H,'SO-DIMM-i5'!G:G,""))</f>
        <v/>
      </c>
    </row>
    <row r="140" spans="1:9" hidden="1" x14ac:dyDescent="0.25">
      <c r="A140">
        <v>139</v>
      </c>
      <c r="B140" t="s">
        <v>167</v>
      </c>
      <c r="C140" t="s">
        <v>139</v>
      </c>
      <c r="D140" t="s">
        <v>139</v>
      </c>
      <c r="E140" t="s">
        <v>139</v>
      </c>
      <c r="F140" t="s">
        <v>139</v>
      </c>
      <c r="G140" t="s">
        <v>139</v>
      </c>
      <c r="H140" t="s">
        <v>139</v>
      </c>
      <c r="I140" t="str">
        <f>_xlfn.XLOOKUP(H140,'SO-DIMM-i5'!A:A,'SO-DIMM-i5'!B:B,_xlfn.XLOOKUP(H140,'SO-DIMM-i5'!H:H,'SO-DIMM-i5'!G:G,""))</f>
        <v/>
      </c>
    </row>
    <row r="141" spans="1:9" hidden="1" x14ac:dyDescent="0.25">
      <c r="A141">
        <v>140</v>
      </c>
      <c r="B141" t="s">
        <v>167</v>
      </c>
      <c r="C141" t="s">
        <v>139</v>
      </c>
      <c r="D141" t="s">
        <v>139</v>
      </c>
      <c r="E141" t="s">
        <v>139</v>
      </c>
      <c r="F141" t="s">
        <v>139</v>
      </c>
      <c r="G141" t="s">
        <v>139</v>
      </c>
      <c r="H141" t="s">
        <v>139</v>
      </c>
      <c r="I141" t="str">
        <f>_xlfn.XLOOKUP(H141,'SO-DIMM-i5'!A:A,'SO-DIMM-i5'!B:B,_xlfn.XLOOKUP(H141,'SO-DIMM-i5'!H:H,'SO-DIMM-i5'!G:G,""))</f>
        <v/>
      </c>
    </row>
    <row r="142" spans="1:9" hidden="1" x14ac:dyDescent="0.25">
      <c r="A142">
        <v>141</v>
      </c>
      <c r="B142" t="s">
        <v>161</v>
      </c>
      <c r="C142" t="s">
        <v>139</v>
      </c>
      <c r="D142" t="s">
        <v>139</v>
      </c>
      <c r="E142" t="s">
        <v>139</v>
      </c>
      <c r="F142" t="s">
        <v>139</v>
      </c>
      <c r="G142" t="s">
        <v>139</v>
      </c>
      <c r="H142" t="s">
        <v>139</v>
      </c>
      <c r="I142" t="str">
        <f>_xlfn.XLOOKUP(H142,'SO-DIMM-i5'!A:A,'SO-DIMM-i5'!B:B,_xlfn.XLOOKUP(H142,'SO-DIMM-i5'!H:H,'SO-DIMM-i5'!G:G,""))</f>
        <v/>
      </c>
    </row>
    <row r="143" spans="1:9" hidden="1" x14ac:dyDescent="0.25">
      <c r="A143">
        <v>142</v>
      </c>
      <c r="B143" t="s">
        <v>161</v>
      </c>
      <c r="C143" t="s">
        <v>139</v>
      </c>
      <c r="D143" t="s">
        <v>139</v>
      </c>
      <c r="E143" t="s">
        <v>139</v>
      </c>
      <c r="F143" t="s">
        <v>139</v>
      </c>
      <c r="G143" t="s">
        <v>139</v>
      </c>
      <c r="H143" t="s">
        <v>139</v>
      </c>
      <c r="I143" t="str">
        <f>_xlfn.XLOOKUP(H143,'SO-DIMM-i5'!A:A,'SO-DIMM-i5'!B:B,_xlfn.XLOOKUP(H143,'SO-DIMM-i5'!H:H,'SO-DIMM-i5'!G:G,""))</f>
        <v/>
      </c>
    </row>
    <row r="144" spans="1:9" hidden="1" x14ac:dyDescent="0.25">
      <c r="A144">
        <v>143</v>
      </c>
      <c r="B144" t="s">
        <v>167</v>
      </c>
      <c r="C144" t="s">
        <v>139</v>
      </c>
      <c r="D144" t="s">
        <v>139</v>
      </c>
      <c r="E144" t="s">
        <v>139</v>
      </c>
      <c r="F144" t="s">
        <v>139</v>
      </c>
      <c r="G144" t="s">
        <v>139</v>
      </c>
      <c r="H144" t="s">
        <v>139</v>
      </c>
      <c r="I144" t="str">
        <f>_xlfn.XLOOKUP(H144,'SO-DIMM-i5'!A:A,'SO-DIMM-i5'!B:B,_xlfn.XLOOKUP(H144,'SO-DIMM-i5'!H:H,'SO-DIMM-i5'!G:G,""))</f>
        <v/>
      </c>
    </row>
    <row r="145" spans="1:9" hidden="1" x14ac:dyDescent="0.25">
      <c r="A145">
        <v>144</v>
      </c>
      <c r="B145" t="s">
        <v>167</v>
      </c>
      <c r="C145" t="s">
        <v>139</v>
      </c>
      <c r="D145" t="s">
        <v>139</v>
      </c>
      <c r="E145" t="s">
        <v>139</v>
      </c>
      <c r="F145" t="s">
        <v>139</v>
      </c>
      <c r="G145" t="s">
        <v>139</v>
      </c>
      <c r="H145" t="s">
        <v>139</v>
      </c>
      <c r="I145" t="str">
        <f>_xlfn.XLOOKUP(H145,'SO-DIMM-i5'!A:A,'SO-DIMM-i5'!B:B,_xlfn.XLOOKUP(H145,'SO-DIMM-i5'!H:H,'SO-DIMM-i5'!G:G,""))</f>
        <v/>
      </c>
    </row>
    <row r="146" spans="1:9" hidden="1" x14ac:dyDescent="0.25">
      <c r="A146">
        <v>145</v>
      </c>
      <c r="B146" t="s">
        <v>4</v>
      </c>
      <c r="C146" t="s">
        <v>139</v>
      </c>
      <c r="D146" t="s">
        <v>139</v>
      </c>
      <c r="E146" t="s">
        <v>139</v>
      </c>
      <c r="F146" t="s">
        <v>139</v>
      </c>
      <c r="G146" t="s">
        <v>139</v>
      </c>
      <c r="H146" t="s">
        <v>139</v>
      </c>
      <c r="I146" t="str">
        <f>_xlfn.XLOOKUP(H146,'SO-DIMM-i5'!A:A,'SO-DIMM-i5'!B:B,_xlfn.XLOOKUP(H146,'SO-DIMM-i5'!H:H,'SO-DIMM-i5'!G:G,""))</f>
        <v/>
      </c>
    </row>
    <row r="147" spans="1:9" hidden="1" x14ac:dyDescent="0.25">
      <c r="A147">
        <v>146</v>
      </c>
      <c r="B147" t="s">
        <v>4</v>
      </c>
      <c r="C147" t="s">
        <v>139</v>
      </c>
      <c r="D147" t="s">
        <v>139</v>
      </c>
      <c r="E147" t="s">
        <v>139</v>
      </c>
      <c r="F147" t="s">
        <v>139</v>
      </c>
      <c r="G147" t="s">
        <v>139</v>
      </c>
      <c r="H147" t="s">
        <v>139</v>
      </c>
      <c r="I147" t="str">
        <f>_xlfn.XLOOKUP(H147,'SO-DIMM-i5'!A:A,'SO-DIMM-i5'!B:B,_xlfn.XLOOKUP(H147,'SO-DIMM-i5'!H:H,'SO-DIMM-i5'!G:G,""))</f>
        <v/>
      </c>
    </row>
    <row r="148" spans="1:9" hidden="1" x14ac:dyDescent="0.25">
      <c r="A148">
        <v>147</v>
      </c>
      <c r="B148" t="s">
        <v>392</v>
      </c>
      <c r="C148" t="s">
        <v>139</v>
      </c>
      <c r="D148" t="s">
        <v>139</v>
      </c>
      <c r="E148" t="s">
        <v>139</v>
      </c>
      <c r="F148" t="s">
        <v>139</v>
      </c>
      <c r="G148" t="s">
        <v>139</v>
      </c>
      <c r="H148" t="s">
        <v>393</v>
      </c>
      <c r="I148" t="str">
        <f>_xlfn.XLOOKUP(H148,'SO-DIMM-i5'!A:A,'SO-DIMM-i5'!B:B,_xlfn.XLOOKUP(H148,'SO-DIMM-i5'!H:H,'SO-DIMM-i5'!G:G,""))</f>
        <v/>
      </c>
    </row>
    <row r="149" spans="1:9" hidden="1" x14ac:dyDescent="0.25">
      <c r="A149">
        <v>148</v>
      </c>
      <c r="B149" t="s">
        <v>4</v>
      </c>
      <c r="C149" t="s">
        <v>139</v>
      </c>
      <c r="D149" t="s">
        <v>139</v>
      </c>
      <c r="E149" t="s">
        <v>139</v>
      </c>
      <c r="F149" t="s">
        <v>139</v>
      </c>
      <c r="G149" t="s">
        <v>139</v>
      </c>
      <c r="H149" t="s">
        <v>394</v>
      </c>
      <c r="I149" t="str">
        <f>_xlfn.XLOOKUP(H149,'SO-DIMM-i5'!A:A,'SO-DIMM-i5'!B:B,_xlfn.XLOOKUP(H149,'SO-DIMM-i5'!H:H,'SO-DIMM-i5'!G:G,""))</f>
        <v/>
      </c>
    </row>
    <row r="150" spans="1:9" hidden="1" x14ac:dyDescent="0.25">
      <c r="A150">
        <v>149</v>
      </c>
      <c r="B150" t="s">
        <v>392</v>
      </c>
      <c r="C150" t="s">
        <v>139</v>
      </c>
      <c r="D150" t="s">
        <v>139</v>
      </c>
      <c r="E150" t="s">
        <v>139</v>
      </c>
      <c r="F150" t="s">
        <v>139</v>
      </c>
      <c r="G150" t="s">
        <v>139</v>
      </c>
      <c r="H150" t="s">
        <v>395</v>
      </c>
      <c r="I150" t="str">
        <f>_xlfn.XLOOKUP(H150,'SO-DIMM-i5'!A:A,'SO-DIMM-i5'!B:B,_xlfn.XLOOKUP(H150,'SO-DIMM-i5'!H:H,'SO-DIMM-i5'!G:G,""))</f>
        <v/>
      </c>
    </row>
    <row r="151" spans="1:9" hidden="1" x14ac:dyDescent="0.25">
      <c r="A151">
        <v>150</v>
      </c>
      <c r="B151" t="s">
        <v>4</v>
      </c>
      <c r="C151" t="s">
        <v>139</v>
      </c>
      <c r="D151" t="s">
        <v>139</v>
      </c>
      <c r="E151" t="s">
        <v>139</v>
      </c>
      <c r="F151" t="s">
        <v>139</v>
      </c>
      <c r="G151" t="s">
        <v>139</v>
      </c>
      <c r="H151" t="s">
        <v>139</v>
      </c>
      <c r="I151" t="str">
        <f>_xlfn.XLOOKUP(H151,'SO-DIMM-i5'!A:A,'SO-DIMM-i5'!B:B,_xlfn.XLOOKUP(H151,'SO-DIMM-i5'!H:H,'SO-DIMM-i5'!G:G,""))</f>
        <v/>
      </c>
    </row>
    <row r="152" spans="1:9" hidden="1" x14ac:dyDescent="0.25">
      <c r="A152">
        <v>151</v>
      </c>
      <c r="B152" t="s">
        <v>4</v>
      </c>
      <c r="C152" t="s">
        <v>139</v>
      </c>
      <c r="D152" t="s">
        <v>139</v>
      </c>
      <c r="E152" t="s">
        <v>139</v>
      </c>
      <c r="F152" t="s">
        <v>139</v>
      </c>
      <c r="G152" t="s">
        <v>139</v>
      </c>
      <c r="H152" t="s">
        <v>139</v>
      </c>
      <c r="I152" t="str">
        <f>_xlfn.XLOOKUP(H152,'SO-DIMM-i5'!A:A,'SO-DIMM-i5'!B:B,_xlfn.XLOOKUP(H152,'SO-DIMM-i5'!H:H,'SO-DIMM-i5'!G:G,""))</f>
        <v/>
      </c>
    </row>
    <row r="153" spans="1:9" hidden="1" x14ac:dyDescent="0.25">
      <c r="A153">
        <v>152</v>
      </c>
      <c r="B153" t="s">
        <v>4</v>
      </c>
      <c r="C153" t="s">
        <v>139</v>
      </c>
      <c r="D153" t="s">
        <v>139</v>
      </c>
      <c r="E153" t="s">
        <v>139</v>
      </c>
      <c r="F153" t="s">
        <v>139</v>
      </c>
      <c r="G153" t="s">
        <v>139</v>
      </c>
      <c r="H153" t="s">
        <v>396</v>
      </c>
      <c r="I153" t="str">
        <f>_xlfn.XLOOKUP(H153,'SO-DIMM-i5'!A:A,'SO-DIMM-i5'!B:B,_xlfn.XLOOKUP(H153,'SO-DIMM-i5'!H:H,'SO-DIMM-i5'!G:G,""))</f>
        <v/>
      </c>
    </row>
    <row r="154" spans="1:9" hidden="1" x14ac:dyDescent="0.25">
      <c r="A154">
        <v>153</v>
      </c>
      <c r="B154" t="s">
        <v>4</v>
      </c>
      <c r="C154" t="s">
        <v>139</v>
      </c>
      <c r="D154" t="s">
        <v>139</v>
      </c>
      <c r="E154" t="s">
        <v>139</v>
      </c>
      <c r="F154" t="s">
        <v>139</v>
      </c>
      <c r="G154" t="s">
        <v>139</v>
      </c>
      <c r="H154" t="s">
        <v>139</v>
      </c>
      <c r="I154" t="str">
        <f>_xlfn.XLOOKUP(H154,'SO-DIMM-i5'!A:A,'SO-DIMM-i5'!B:B,_xlfn.XLOOKUP(H154,'SO-DIMM-i5'!H:H,'SO-DIMM-i5'!G:G,""))</f>
        <v/>
      </c>
    </row>
    <row r="155" spans="1:9" hidden="1" x14ac:dyDescent="0.25">
      <c r="A155">
        <v>154</v>
      </c>
      <c r="B155" t="s">
        <v>4</v>
      </c>
      <c r="C155" t="s">
        <v>139</v>
      </c>
      <c r="D155" t="s">
        <v>139</v>
      </c>
      <c r="E155" t="s">
        <v>139</v>
      </c>
      <c r="F155" t="s">
        <v>139</v>
      </c>
      <c r="G155" t="s">
        <v>139</v>
      </c>
      <c r="H155" t="s">
        <v>397</v>
      </c>
      <c r="I155" t="str">
        <f>_xlfn.XLOOKUP(H155,'SO-DIMM-i5'!A:A,'SO-DIMM-i5'!B:B,_xlfn.XLOOKUP(H155,'SO-DIMM-i5'!H:H,'SO-DIMM-i5'!G:G,""))</f>
        <v/>
      </c>
    </row>
    <row r="156" spans="1:9" hidden="1" x14ac:dyDescent="0.25">
      <c r="A156">
        <v>155</v>
      </c>
      <c r="B156" t="s">
        <v>4</v>
      </c>
      <c r="C156" t="s">
        <v>139</v>
      </c>
      <c r="D156" t="s">
        <v>139</v>
      </c>
      <c r="E156" t="s">
        <v>139</v>
      </c>
      <c r="F156" t="s">
        <v>139</v>
      </c>
      <c r="G156" t="s">
        <v>139</v>
      </c>
      <c r="H156" t="s">
        <v>398</v>
      </c>
      <c r="I156" t="str">
        <f>_xlfn.XLOOKUP(H156,'SO-DIMM-i5'!A:A,'SO-DIMM-i5'!B:B,_xlfn.XLOOKUP(H156,'SO-DIMM-i5'!H:H,'SO-DIMM-i5'!G:G,""))</f>
        <v/>
      </c>
    </row>
    <row r="157" spans="1:9" hidden="1" x14ac:dyDescent="0.25">
      <c r="A157">
        <v>156</v>
      </c>
      <c r="B157" t="s">
        <v>4</v>
      </c>
      <c r="C157" t="s">
        <v>139</v>
      </c>
      <c r="D157" t="s">
        <v>139</v>
      </c>
      <c r="E157" t="s">
        <v>139</v>
      </c>
      <c r="F157" t="s">
        <v>139</v>
      </c>
      <c r="G157" t="s">
        <v>139</v>
      </c>
      <c r="H157" t="s">
        <v>139</v>
      </c>
      <c r="I157" t="str">
        <f>_xlfn.XLOOKUP(H157,'SO-DIMM-i5'!A:A,'SO-DIMM-i5'!B:B,_xlfn.XLOOKUP(H157,'SO-DIMM-i5'!H:H,'SO-DIMM-i5'!G:G,""))</f>
        <v/>
      </c>
    </row>
    <row r="158" spans="1:9" hidden="1" x14ac:dyDescent="0.25">
      <c r="A158">
        <v>157</v>
      </c>
      <c r="B158" t="s">
        <v>4</v>
      </c>
      <c r="C158" t="s">
        <v>139</v>
      </c>
      <c r="D158" t="s">
        <v>139</v>
      </c>
      <c r="E158" t="s">
        <v>139</v>
      </c>
      <c r="F158" t="s">
        <v>139</v>
      </c>
      <c r="G158" t="s">
        <v>139</v>
      </c>
      <c r="H158" t="s">
        <v>139</v>
      </c>
      <c r="I158" t="str">
        <f>_xlfn.XLOOKUP(H158,'SO-DIMM-i5'!A:A,'SO-DIMM-i5'!B:B,_xlfn.XLOOKUP(H158,'SO-DIMM-i5'!H:H,'SO-DIMM-i5'!G:G,""))</f>
        <v/>
      </c>
    </row>
    <row r="159" spans="1:9" hidden="1" x14ac:dyDescent="0.25">
      <c r="A159">
        <v>158</v>
      </c>
      <c r="B159" t="s">
        <v>4</v>
      </c>
      <c r="C159" t="s">
        <v>139</v>
      </c>
      <c r="D159" t="s">
        <v>139</v>
      </c>
      <c r="E159" t="s">
        <v>139</v>
      </c>
      <c r="F159" t="s">
        <v>139</v>
      </c>
      <c r="G159" t="s">
        <v>139</v>
      </c>
      <c r="H159" t="s">
        <v>399</v>
      </c>
      <c r="I159" t="str">
        <f>_xlfn.XLOOKUP(H159,'SO-DIMM-i5'!A:A,'SO-DIMM-i5'!B:B,_xlfn.XLOOKUP(H159,'SO-DIMM-i5'!H:H,'SO-DIMM-i5'!G:G,""))</f>
        <v/>
      </c>
    </row>
    <row r="160" spans="1:9" hidden="1" x14ac:dyDescent="0.25">
      <c r="A160">
        <v>159</v>
      </c>
      <c r="B160" t="s">
        <v>4</v>
      </c>
      <c r="C160" t="s">
        <v>139</v>
      </c>
      <c r="D160" t="s">
        <v>139</v>
      </c>
      <c r="E160" t="s">
        <v>139</v>
      </c>
      <c r="F160" t="s">
        <v>139</v>
      </c>
      <c r="G160" t="s">
        <v>139</v>
      </c>
      <c r="H160" t="s">
        <v>139</v>
      </c>
      <c r="I160" t="str">
        <f>_xlfn.XLOOKUP(H160,'SO-DIMM-i5'!A:A,'SO-DIMM-i5'!B:B,_xlfn.XLOOKUP(H160,'SO-DIMM-i5'!H:H,'SO-DIMM-i5'!G:G,""))</f>
        <v/>
      </c>
    </row>
    <row r="161" spans="1:9" hidden="1" x14ac:dyDescent="0.25">
      <c r="A161">
        <v>160</v>
      </c>
      <c r="B161" t="s">
        <v>4</v>
      </c>
      <c r="C161" t="s">
        <v>139</v>
      </c>
      <c r="D161" t="s">
        <v>139</v>
      </c>
      <c r="E161" t="s">
        <v>139</v>
      </c>
      <c r="F161" t="s">
        <v>139</v>
      </c>
      <c r="G161" t="s">
        <v>139</v>
      </c>
      <c r="H161" t="s">
        <v>400</v>
      </c>
      <c r="I161" t="str">
        <f>_xlfn.XLOOKUP(H161,'SO-DIMM-i5'!A:A,'SO-DIMM-i5'!B:B,_xlfn.XLOOKUP(H161,'SO-DIMM-i5'!H:H,'SO-DIMM-i5'!G:G,""))</f>
        <v/>
      </c>
    </row>
    <row r="162" spans="1:9" hidden="1" x14ac:dyDescent="0.25">
      <c r="A162">
        <v>161</v>
      </c>
      <c r="B162" t="s">
        <v>4</v>
      </c>
      <c r="C162" t="s">
        <v>139</v>
      </c>
      <c r="D162" t="s">
        <v>139</v>
      </c>
      <c r="E162" t="s">
        <v>139</v>
      </c>
      <c r="F162" t="s">
        <v>139</v>
      </c>
      <c r="G162" t="s">
        <v>139</v>
      </c>
      <c r="H162" t="s">
        <v>401</v>
      </c>
      <c r="I162" t="str">
        <f>_xlfn.XLOOKUP(H162,'SO-DIMM-i5'!A:A,'SO-DIMM-i5'!B:B,_xlfn.XLOOKUP(H162,'SO-DIMM-i5'!H:H,'SO-DIMM-i5'!G:G,""))</f>
        <v/>
      </c>
    </row>
    <row r="163" spans="1:9" hidden="1" x14ac:dyDescent="0.25">
      <c r="A163">
        <v>162</v>
      </c>
      <c r="B163" t="s">
        <v>4</v>
      </c>
      <c r="C163" t="s">
        <v>139</v>
      </c>
      <c r="D163" t="s">
        <v>139</v>
      </c>
      <c r="E163" t="s">
        <v>139</v>
      </c>
      <c r="F163" t="s">
        <v>139</v>
      </c>
      <c r="G163" t="s">
        <v>139</v>
      </c>
      <c r="H163" t="s">
        <v>139</v>
      </c>
      <c r="I163" t="str">
        <f>_xlfn.XLOOKUP(H163,'SO-DIMM-i5'!A:A,'SO-DIMM-i5'!B:B,_xlfn.XLOOKUP(H163,'SO-DIMM-i5'!H:H,'SO-DIMM-i5'!G:G,""))</f>
        <v/>
      </c>
    </row>
    <row r="164" spans="1:9" hidden="1" x14ac:dyDescent="0.25">
      <c r="A164">
        <v>163</v>
      </c>
      <c r="B164" t="s">
        <v>4</v>
      </c>
      <c r="C164" t="s">
        <v>139</v>
      </c>
      <c r="D164" t="s">
        <v>139</v>
      </c>
      <c r="E164" t="s">
        <v>139</v>
      </c>
      <c r="F164" t="s">
        <v>139</v>
      </c>
      <c r="G164" t="s">
        <v>139</v>
      </c>
      <c r="H164" t="s">
        <v>139</v>
      </c>
      <c r="I164" t="str">
        <f>_xlfn.XLOOKUP(H164,'SO-DIMM-i5'!A:A,'SO-DIMM-i5'!B:B,_xlfn.XLOOKUP(H164,'SO-DIMM-i5'!H:H,'SO-DIMM-i5'!G:G,""))</f>
        <v/>
      </c>
    </row>
    <row r="165" spans="1:9" hidden="1" x14ac:dyDescent="0.25">
      <c r="A165">
        <v>164</v>
      </c>
      <c r="B165" t="s">
        <v>392</v>
      </c>
      <c r="C165" t="s">
        <v>139</v>
      </c>
      <c r="D165" t="s">
        <v>139</v>
      </c>
      <c r="E165" t="s">
        <v>139</v>
      </c>
      <c r="F165" t="s">
        <v>139</v>
      </c>
      <c r="G165" t="s">
        <v>139</v>
      </c>
      <c r="H165" t="s">
        <v>402</v>
      </c>
      <c r="I165" t="str">
        <f>_xlfn.XLOOKUP(H165,'SO-DIMM-i5'!A:A,'SO-DIMM-i5'!B:B,_xlfn.XLOOKUP(H165,'SO-DIMM-i5'!H:H,'SO-DIMM-i5'!G:G,""))</f>
        <v/>
      </c>
    </row>
    <row r="166" spans="1:9" hidden="1" x14ac:dyDescent="0.25">
      <c r="A166">
        <v>165</v>
      </c>
      <c r="B166" t="s">
        <v>4</v>
      </c>
      <c r="C166" t="s">
        <v>139</v>
      </c>
      <c r="D166" t="s">
        <v>139</v>
      </c>
      <c r="E166" t="s">
        <v>139</v>
      </c>
      <c r="F166" t="s">
        <v>139</v>
      </c>
      <c r="G166" t="s">
        <v>139</v>
      </c>
      <c r="H166" t="s">
        <v>403</v>
      </c>
      <c r="I166" t="str">
        <f>_xlfn.XLOOKUP(H166,'SO-DIMM-i5'!A:A,'SO-DIMM-i5'!B:B,_xlfn.XLOOKUP(H166,'SO-DIMM-i5'!H:H,'SO-DIMM-i5'!G:G,""))</f>
        <v/>
      </c>
    </row>
    <row r="167" spans="1:9" hidden="1" x14ac:dyDescent="0.25">
      <c r="A167">
        <v>166</v>
      </c>
      <c r="B167" t="s">
        <v>392</v>
      </c>
      <c r="C167" t="s">
        <v>139</v>
      </c>
      <c r="D167" t="s">
        <v>139</v>
      </c>
      <c r="E167" t="s">
        <v>139</v>
      </c>
      <c r="F167" t="s">
        <v>139</v>
      </c>
      <c r="G167" t="s">
        <v>139</v>
      </c>
      <c r="H167" t="s">
        <v>404</v>
      </c>
      <c r="I167" t="str">
        <f>_xlfn.XLOOKUP(H167,'SO-DIMM-i5'!A:A,'SO-DIMM-i5'!B:B,_xlfn.XLOOKUP(H167,'SO-DIMM-i5'!H:H,'SO-DIMM-i5'!G:G,""))</f>
        <v/>
      </c>
    </row>
    <row r="168" spans="1:9" hidden="1" x14ac:dyDescent="0.25">
      <c r="A168">
        <v>167</v>
      </c>
      <c r="B168" t="s">
        <v>4</v>
      </c>
      <c r="C168" t="s">
        <v>139</v>
      </c>
      <c r="D168" t="s">
        <v>139</v>
      </c>
      <c r="E168" t="s">
        <v>139</v>
      </c>
      <c r="F168" t="s">
        <v>139</v>
      </c>
      <c r="G168" t="s">
        <v>139</v>
      </c>
      <c r="H168" t="s">
        <v>139</v>
      </c>
      <c r="I168" t="str">
        <f>_xlfn.XLOOKUP(H168,'SO-DIMM-i5'!A:A,'SO-DIMM-i5'!B:B,_xlfn.XLOOKUP(H168,'SO-DIMM-i5'!H:H,'SO-DIMM-i5'!G:G,""))</f>
        <v/>
      </c>
    </row>
    <row r="169" spans="1:9" hidden="1" x14ac:dyDescent="0.25">
      <c r="A169">
        <v>168</v>
      </c>
      <c r="B169" t="s">
        <v>4</v>
      </c>
      <c r="C169" t="s">
        <v>139</v>
      </c>
      <c r="D169" t="s">
        <v>139</v>
      </c>
      <c r="E169" t="s">
        <v>139</v>
      </c>
      <c r="F169" t="s">
        <v>139</v>
      </c>
      <c r="G169" t="s">
        <v>139</v>
      </c>
      <c r="H169" t="s">
        <v>139</v>
      </c>
      <c r="I169" t="str">
        <f>_xlfn.XLOOKUP(H169,'SO-DIMM-i5'!A:A,'SO-DIMM-i5'!B:B,_xlfn.XLOOKUP(H169,'SO-DIMM-i5'!H:H,'SO-DIMM-i5'!G:G,""))</f>
        <v/>
      </c>
    </row>
    <row r="170" spans="1:9" hidden="1" x14ac:dyDescent="0.25">
      <c r="A170">
        <v>169</v>
      </c>
      <c r="B170" t="s">
        <v>392</v>
      </c>
      <c r="C170" t="s">
        <v>139</v>
      </c>
      <c r="D170" t="s">
        <v>139</v>
      </c>
      <c r="E170" t="s">
        <v>139</v>
      </c>
      <c r="F170" t="s">
        <v>139</v>
      </c>
      <c r="G170" t="s">
        <v>139</v>
      </c>
      <c r="H170" t="s">
        <v>405</v>
      </c>
      <c r="I170" t="str">
        <f>_xlfn.XLOOKUP(H170,'SO-DIMM-i5'!A:A,'SO-DIMM-i5'!B:B,_xlfn.XLOOKUP(H170,'SO-DIMM-i5'!H:H,'SO-DIMM-i5'!G:G,""))</f>
        <v/>
      </c>
    </row>
    <row r="171" spans="1:9" hidden="1" x14ac:dyDescent="0.25">
      <c r="A171">
        <v>170</v>
      </c>
      <c r="B171" t="s">
        <v>4</v>
      </c>
      <c r="C171" t="s">
        <v>139</v>
      </c>
      <c r="D171" t="s">
        <v>139</v>
      </c>
      <c r="E171" t="s">
        <v>139</v>
      </c>
      <c r="F171" t="s">
        <v>139</v>
      </c>
      <c r="G171" t="s">
        <v>139</v>
      </c>
      <c r="H171" t="s">
        <v>139</v>
      </c>
      <c r="I171" t="str">
        <f>_xlfn.XLOOKUP(H171,'SO-DIMM-i5'!A:A,'SO-DIMM-i5'!B:B,_xlfn.XLOOKUP(H171,'SO-DIMM-i5'!H:H,'SO-DIMM-i5'!G:G,""))</f>
        <v/>
      </c>
    </row>
    <row r="172" spans="1:9" hidden="1" x14ac:dyDescent="0.25">
      <c r="A172">
        <v>171</v>
      </c>
      <c r="B172" t="s">
        <v>392</v>
      </c>
      <c r="C172" t="s">
        <v>139</v>
      </c>
      <c r="D172" t="s">
        <v>139</v>
      </c>
      <c r="E172" t="s">
        <v>139</v>
      </c>
      <c r="F172" t="s">
        <v>139</v>
      </c>
      <c r="G172" t="s">
        <v>139</v>
      </c>
      <c r="H172" t="s">
        <v>406</v>
      </c>
      <c r="I172" t="str">
        <f>_xlfn.XLOOKUP(H172,'SO-DIMM-i5'!A:A,'SO-DIMM-i5'!B:B,_xlfn.XLOOKUP(H172,'SO-DIMM-i5'!H:H,'SO-DIMM-i5'!G:G,""))</f>
        <v/>
      </c>
    </row>
    <row r="173" spans="1:9" hidden="1" x14ac:dyDescent="0.25">
      <c r="A173">
        <v>172</v>
      </c>
      <c r="B173" t="s">
        <v>4</v>
      </c>
      <c r="C173" t="s">
        <v>139</v>
      </c>
      <c r="D173" t="s">
        <v>139</v>
      </c>
      <c r="E173" t="s">
        <v>139</v>
      </c>
      <c r="F173" t="s">
        <v>139</v>
      </c>
      <c r="G173" t="s">
        <v>139</v>
      </c>
      <c r="H173" t="s">
        <v>139</v>
      </c>
      <c r="I173" t="str">
        <f>_xlfn.XLOOKUP(H173,'SO-DIMM-i5'!A:A,'SO-DIMM-i5'!B:B,_xlfn.XLOOKUP(H173,'SO-DIMM-i5'!H:H,'SO-DIMM-i5'!G:G,""))</f>
        <v/>
      </c>
    </row>
    <row r="174" spans="1:9" hidden="1" x14ac:dyDescent="0.25">
      <c r="A174">
        <v>173</v>
      </c>
      <c r="B174" t="s">
        <v>4</v>
      </c>
      <c r="C174" t="s">
        <v>139</v>
      </c>
      <c r="D174" t="s">
        <v>139</v>
      </c>
      <c r="E174" t="s">
        <v>139</v>
      </c>
      <c r="F174" t="s">
        <v>139</v>
      </c>
      <c r="G174" t="s">
        <v>139</v>
      </c>
      <c r="H174" t="s">
        <v>139</v>
      </c>
      <c r="I174" t="str">
        <f>_xlfn.XLOOKUP(H174,'SO-DIMM-i5'!A:A,'SO-DIMM-i5'!B:B,_xlfn.XLOOKUP(H174,'SO-DIMM-i5'!H:H,'SO-DIMM-i5'!G:G,""))</f>
        <v/>
      </c>
    </row>
    <row r="175" spans="1:9" hidden="1" x14ac:dyDescent="0.25">
      <c r="A175">
        <v>174</v>
      </c>
      <c r="B175" t="s">
        <v>4</v>
      </c>
      <c r="C175" t="s">
        <v>139</v>
      </c>
      <c r="D175" t="s">
        <v>139</v>
      </c>
      <c r="E175" t="s">
        <v>139</v>
      </c>
      <c r="F175" t="s">
        <v>139</v>
      </c>
      <c r="G175" t="s">
        <v>139</v>
      </c>
      <c r="H175" t="s">
        <v>407</v>
      </c>
      <c r="I175" t="str">
        <f>_xlfn.XLOOKUP(H175,'SO-DIMM-i5'!A:A,'SO-DIMM-i5'!B:B,_xlfn.XLOOKUP(H175,'SO-DIMM-i5'!H:H,'SO-DIMM-i5'!G:G,""))</f>
        <v/>
      </c>
    </row>
    <row r="176" spans="1:9" hidden="1" x14ac:dyDescent="0.25">
      <c r="A176">
        <v>175</v>
      </c>
      <c r="B176" t="s">
        <v>4</v>
      </c>
      <c r="C176" t="s">
        <v>139</v>
      </c>
      <c r="D176" t="s">
        <v>139</v>
      </c>
      <c r="E176" t="s">
        <v>139</v>
      </c>
      <c r="F176" t="s">
        <v>139</v>
      </c>
      <c r="G176" t="s">
        <v>139</v>
      </c>
      <c r="H176" t="s">
        <v>139</v>
      </c>
      <c r="I176" t="str">
        <f>_xlfn.XLOOKUP(H176,'SO-DIMM-i5'!A:A,'SO-DIMM-i5'!B:B,_xlfn.XLOOKUP(H176,'SO-DIMM-i5'!H:H,'SO-DIMM-i5'!G:G,""))</f>
        <v/>
      </c>
    </row>
    <row r="177" spans="1:9" hidden="1" x14ac:dyDescent="0.25">
      <c r="A177">
        <v>176</v>
      </c>
      <c r="B177" t="s">
        <v>4</v>
      </c>
      <c r="C177" t="s">
        <v>139</v>
      </c>
      <c r="D177" t="s">
        <v>139</v>
      </c>
      <c r="E177" t="s">
        <v>139</v>
      </c>
      <c r="F177" t="s">
        <v>139</v>
      </c>
      <c r="G177" t="s">
        <v>139</v>
      </c>
      <c r="H177" t="s">
        <v>408</v>
      </c>
      <c r="I177" t="str">
        <f>_xlfn.XLOOKUP(H177,'SO-DIMM-i5'!A:A,'SO-DIMM-i5'!B:B,_xlfn.XLOOKUP(H177,'SO-DIMM-i5'!H:H,'SO-DIMM-i5'!G:G,""))</f>
        <v/>
      </c>
    </row>
    <row r="178" spans="1:9" hidden="1" x14ac:dyDescent="0.25">
      <c r="A178">
        <v>177</v>
      </c>
      <c r="B178" t="s">
        <v>167</v>
      </c>
      <c r="C178" t="s">
        <v>139</v>
      </c>
      <c r="D178" t="s">
        <v>139</v>
      </c>
      <c r="E178" t="s">
        <v>139</v>
      </c>
      <c r="F178" t="s">
        <v>139</v>
      </c>
      <c r="G178" t="s">
        <v>139</v>
      </c>
      <c r="H178" t="s">
        <v>139</v>
      </c>
      <c r="I178" t="str">
        <f>_xlfn.XLOOKUP(H178,'SO-DIMM-i5'!A:A,'SO-DIMM-i5'!B:B,_xlfn.XLOOKUP(H178,'SO-DIMM-i5'!H:H,'SO-DIMM-i5'!G:G,""))</f>
        <v/>
      </c>
    </row>
    <row r="179" spans="1:9" hidden="1" x14ac:dyDescent="0.25">
      <c r="A179">
        <v>178</v>
      </c>
      <c r="B179" t="s">
        <v>161</v>
      </c>
      <c r="C179" t="s">
        <v>139</v>
      </c>
      <c r="D179" t="s">
        <v>139</v>
      </c>
      <c r="E179" t="s">
        <v>139</v>
      </c>
      <c r="F179" t="s">
        <v>139</v>
      </c>
      <c r="G179" t="s">
        <v>139</v>
      </c>
      <c r="H179" t="s">
        <v>139</v>
      </c>
      <c r="I179" t="str">
        <f>_xlfn.XLOOKUP(H179,'SO-DIMM-i5'!A:A,'SO-DIMM-i5'!B:B,_xlfn.XLOOKUP(H179,'SO-DIMM-i5'!H:H,'SO-DIMM-i5'!G:G,""))</f>
        <v/>
      </c>
    </row>
    <row r="180" spans="1:9" hidden="1" x14ac:dyDescent="0.25">
      <c r="A180">
        <v>179</v>
      </c>
      <c r="B180" t="s">
        <v>167</v>
      </c>
      <c r="C180" t="s">
        <v>139</v>
      </c>
      <c r="D180" t="s">
        <v>139</v>
      </c>
      <c r="E180" t="s">
        <v>139</v>
      </c>
      <c r="F180" t="s">
        <v>139</v>
      </c>
      <c r="G180" t="s">
        <v>139</v>
      </c>
      <c r="H180" t="s">
        <v>139</v>
      </c>
      <c r="I180" t="str">
        <f>_xlfn.XLOOKUP(H180,'SO-DIMM-i5'!A:A,'SO-DIMM-i5'!B:B,_xlfn.XLOOKUP(H180,'SO-DIMM-i5'!H:H,'SO-DIMM-i5'!G:G,""))</f>
        <v/>
      </c>
    </row>
    <row r="181" spans="1:9" hidden="1" x14ac:dyDescent="0.25">
      <c r="A181">
        <v>180</v>
      </c>
      <c r="B181" t="s">
        <v>4</v>
      </c>
      <c r="C181" t="s">
        <v>139</v>
      </c>
      <c r="D181" t="s">
        <v>139</v>
      </c>
      <c r="E181" t="s">
        <v>139</v>
      </c>
      <c r="F181" t="s">
        <v>139</v>
      </c>
      <c r="G181" t="s">
        <v>139</v>
      </c>
      <c r="H181" t="s">
        <v>139</v>
      </c>
      <c r="I181" t="str">
        <f>_xlfn.XLOOKUP(H181,'SO-DIMM-i5'!A:A,'SO-DIMM-i5'!B:B,_xlfn.XLOOKUP(H181,'SO-DIMM-i5'!H:H,'SO-DIMM-i5'!G:G,""))</f>
        <v/>
      </c>
    </row>
    <row r="182" spans="1:9" hidden="1" x14ac:dyDescent="0.25">
      <c r="A182">
        <v>181</v>
      </c>
      <c r="B182" t="s">
        <v>12</v>
      </c>
      <c r="C182" t="s">
        <v>139</v>
      </c>
      <c r="D182" t="s">
        <v>139</v>
      </c>
      <c r="E182" t="s">
        <v>139</v>
      </c>
      <c r="F182" t="s">
        <v>139</v>
      </c>
      <c r="G182" t="s">
        <v>139</v>
      </c>
      <c r="H182" t="s">
        <v>139</v>
      </c>
      <c r="I182" t="str">
        <f>_xlfn.XLOOKUP(H182,'SO-DIMM-i5'!A:A,'SO-DIMM-i5'!B:B,_xlfn.XLOOKUP(H182,'SO-DIMM-i5'!H:H,'SO-DIMM-i5'!G:G,""))</f>
        <v/>
      </c>
    </row>
    <row r="183" spans="1:9" hidden="1" x14ac:dyDescent="0.25">
      <c r="A183">
        <v>182</v>
      </c>
      <c r="B183" t="s">
        <v>12</v>
      </c>
      <c r="C183" t="s">
        <v>139</v>
      </c>
      <c r="D183" t="s">
        <v>139</v>
      </c>
      <c r="E183" t="s">
        <v>139</v>
      </c>
      <c r="F183" t="s">
        <v>139</v>
      </c>
      <c r="G183" t="s">
        <v>139</v>
      </c>
      <c r="H183" t="s">
        <v>139</v>
      </c>
      <c r="I183" t="str">
        <f>_xlfn.XLOOKUP(H183,'SO-DIMM-i5'!A:A,'SO-DIMM-i5'!B:B,_xlfn.XLOOKUP(H183,'SO-DIMM-i5'!H:H,'SO-DIMM-i5'!G:G,""))</f>
        <v/>
      </c>
    </row>
    <row r="184" spans="1:9" x14ac:dyDescent="0.25">
      <c r="A184">
        <v>183</v>
      </c>
      <c r="B184" t="s">
        <v>409</v>
      </c>
      <c r="C184">
        <v>3</v>
      </c>
      <c r="D184" t="s">
        <v>410</v>
      </c>
      <c r="E184" t="s">
        <v>411</v>
      </c>
      <c r="F184" t="s">
        <v>139</v>
      </c>
      <c r="G184" t="s">
        <v>412</v>
      </c>
      <c r="H184" t="s">
        <v>52</v>
      </c>
      <c r="I184">
        <f>_xlfn.XLOOKUP(H184,'SO-DIMM-i5'!A:A,'SO-DIMM-i5'!B:B,_xlfn.XLOOKUP(H184,'SO-DIMM-i5'!H:H,'SO-DIMM-i5'!G:G,""))</f>
        <v>67</v>
      </c>
    </row>
    <row r="185" spans="1:9" x14ac:dyDescent="0.25">
      <c r="A185">
        <v>184</v>
      </c>
      <c r="B185" t="s">
        <v>413</v>
      </c>
      <c r="C185">
        <v>3</v>
      </c>
      <c r="D185" t="s">
        <v>414</v>
      </c>
      <c r="E185" t="s">
        <v>415</v>
      </c>
      <c r="F185" t="s">
        <v>139</v>
      </c>
      <c r="G185" t="s">
        <v>412</v>
      </c>
      <c r="H185" t="s">
        <v>32</v>
      </c>
      <c r="I185">
        <f>_xlfn.XLOOKUP(H185,'SO-DIMM-i5'!A:A,'SO-DIMM-i5'!B:B,_xlfn.XLOOKUP(H185,'SO-DIMM-i5'!H:H,'SO-DIMM-i5'!G:G,""))</f>
        <v>41</v>
      </c>
    </row>
    <row r="186" spans="1:9" hidden="1" x14ac:dyDescent="0.25">
      <c r="A186">
        <v>185</v>
      </c>
      <c r="B186" t="s">
        <v>416</v>
      </c>
      <c r="C186" t="s">
        <v>139</v>
      </c>
      <c r="D186" t="s">
        <v>139</v>
      </c>
      <c r="E186" t="s">
        <v>139</v>
      </c>
      <c r="F186" t="s">
        <v>139</v>
      </c>
      <c r="G186" t="s">
        <v>139</v>
      </c>
      <c r="H186" t="s">
        <v>139</v>
      </c>
      <c r="I186" t="str">
        <f>_xlfn.XLOOKUP(H186,'SO-DIMM-i5'!A:A,'SO-DIMM-i5'!B:B,_xlfn.XLOOKUP(H186,'SO-DIMM-i5'!H:H,'SO-DIMM-i5'!G:G,""))</f>
        <v/>
      </c>
    </row>
    <row r="187" spans="1:9" x14ac:dyDescent="0.25">
      <c r="A187">
        <v>186</v>
      </c>
      <c r="B187" t="s">
        <v>417</v>
      </c>
      <c r="C187">
        <v>3</v>
      </c>
      <c r="D187" t="s">
        <v>139</v>
      </c>
      <c r="E187" t="s">
        <v>418</v>
      </c>
      <c r="F187" t="b">
        <v>1</v>
      </c>
      <c r="G187" t="s">
        <v>412</v>
      </c>
      <c r="H187" t="s">
        <v>56</v>
      </c>
      <c r="I187">
        <f>_xlfn.XLOOKUP(H187,'SO-DIMM-i5'!A:A,'SO-DIMM-i5'!B:B,_xlfn.XLOOKUP(H187,'SO-DIMM-i5'!H:H,'SO-DIMM-i5'!G:G,""))</f>
        <v>71</v>
      </c>
    </row>
    <row r="188" spans="1:9" hidden="1" x14ac:dyDescent="0.25">
      <c r="A188">
        <v>187</v>
      </c>
      <c r="B188" t="s">
        <v>419</v>
      </c>
      <c r="C188" t="s">
        <v>139</v>
      </c>
      <c r="D188" t="s">
        <v>139</v>
      </c>
      <c r="E188" t="s">
        <v>139</v>
      </c>
      <c r="F188" t="s">
        <v>139</v>
      </c>
      <c r="G188" t="s">
        <v>139</v>
      </c>
      <c r="H188" t="s">
        <v>139</v>
      </c>
      <c r="I188" t="str">
        <f>_xlfn.XLOOKUP(H188,'SO-DIMM-i5'!A:A,'SO-DIMM-i5'!B:B,_xlfn.XLOOKUP(H188,'SO-DIMM-i5'!H:H,'SO-DIMM-i5'!G:G,""))</f>
        <v/>
      </c>
    </row>
    <row r="189" spans="1:9" x14ac:dyDescent="0.25">
      <c r="A189">
        <v>188</v>
      </c>
      <c r="B189" t="s">
        <v>420</v>
      </c>
      <c r="C189">
        <v>3</v>
      </c>
      <c r="D189" t="s">
        <v>139</v>
      </c>
      <c r="E189" t="s">
        <v>421</v>
      </c>
      <c r="F189" t="b">
        <v>1</v>
      </c>
      <c r="G189" t="s">
        <v>412</v>
      </c>
      <c r="H189" t="s">
        <v>54</v>
      </c>
      <c r="I189">
        <f>_xlfn.XLOOKUP(H189,'SO-DIMM-i5'!A:A,'SO-DIMM-i5'!B:B,_xlfn.XLOOKUP(H189,'SO-DIMM-i5'!H:H,'SO-DIMM-i5'!G:G,""))</f>
        <v>69</v>
      </c>
    </row>
    <row r="190" spans="1:9" x14ac:dyDescent="0.25">
      <c r="A190">
        <v>189</v>
      </c>
      <c r="B190" t="s">
        <v>422</v>
      </c>
      <c r="C190">
        <v>3</v>
      </c>
      <c r="D190" t="s">
        <v>139</v>
      </c>
      <c r="E190" t="s">
        <v>423</v>
      </c>
      <c r="F190" t="s">
        <v>139</v>
      </c>
      <c r="G190" t="s">
        <v>412</v>
      </c>
      <c r="H190" t="s">
        <v>42</v>
      </c>
      <c r="I190">
        <f>_xlfn.XLOOKUP(H190,'SO-DIMM-i5'!A:A,'SO-DIMM-i5'!B:B,_xlfn.XLOOKUP(H190,'SO-DIMM-i5'!H:H,'SO-DIMM-i5'!G:G,""))</f>
        <v>57</v>
      </c>
    </row>
    <row r="191" spans="1:9" hidden="1" x14ac:dyDescent="0.25">
      <c r="A191">
        <v>190</v>
      </c>
      <c r="B191" t="s">
        <v>161</v>
      </c>
      <c r="C191" t="s">
        <v>139</v>
      </c>
      <c r="D191" t="s">
        <v>139</v>
      </c>
      <c r="E191" t="s">
        <v>139</v>
      </c>
      <c r="F191" t="s">
        <v>139</v>
      </c>
      <c r="G191" t="s">
        <v>139</v>
      </c>
      <c r="H191" t="s">
        <v>139</v>
      </c>
      <c r="I191" t="str">
        <f>_xlfn.XLOOKUP(H191,'SO-DIMM-i5'!A:A,'SO-DIMM-i5'!B:B,_xlfn.XLOOKUP(H191,'SO-DIMM-i5'!H:H,'SO-DIMM-i5'!G:G,""))</f>
        <v/>
      </c>
    </row>
    <row r="192" spans="1:9" x14ac:dyDescent="0.25">
      <c r="A192">
        <v>191</v>
      </c>
      <c r="B192" t="s">
        <v>424</v>
      </c>
      <c r="C192">
        <v>3</v>
      </c>
      <c r="D192" t="s">
        <v>139</v>
      </c>
      <c r="E192" t="s">
        <v>425</v>
      </c>
      <c r="F192" t="b">
        <v>1</v>
      </c>
      <c r="G192" t="s">
        <v>426</v>
      </c>
      <c r="H192" t="s">
        <v>44</v>
      </c>
      <c r="I192">
        <f>_xlfn.XLOOKUP(H192,'SO-DIMM-i5'!A:A,'SO-DIMM-i5'!B:B,_xlfn.XLOOKUP(H192,'SO-DIMM-i5'!H:H,'SO-DIMM-i5'!G:G,""))</f>
        <v>59</v>
      </c>
    </row>
    <row r="193" spans="1:9" hidden="1" x14ac:dyDescent="0.25">
      <c r="A193">
        <v>192</v>
      </c>
      <c r="B193" t="s">
        <v>427</v>
      </c>
      <c r="C193">
        <v>3</v>
      </c>
      <c r="D193" t="s">
        <v>139</v>
      </c>
      <c r="E193" t="s">
        <v>428</v>
      </c>
      <c r="F193" t="s">
        <v>139</v>
      </c>
      <c r="G193" t="s">
        <v>412</v>
      </c>
      <c r="H193" t="s">
        <v>429</v>
      </c>
      <c r="I193" t="str">
        <f>_xlfn.XLOOKUP(H193,'SO-DIMM-i5'!A:A,'SO-DIMM-i5'!B:B,_xlfn.XLOOKUP(H193,'SO-DIMM-i5'!H:H,'SO-DIMM-i5'!G:G,""))</f>
        <v/>
      </c>
    </row>
    <row r="194" spans="1:9" hidden="1" x14ac:dyDescent="0.25">
      <c r="A194">
        <v>193</v>
      </c>
      <c r="B194" t="s">
        <v>167</v>
      </c>
      <c r="C194" t="s">
        <v>139</v>
      </c>
      <c r="D194" t="s">
        <v>139</v>
      </c>
      <c r="E194" t="s">
        <v>139</v>
      </c>
      <c r="F194" t="s">
        <v>139</v>
      </c>
      <c r="G194" t="s">
        <v>139</v>
      </c>
      <c r="H194" t="s">
        <v>139</v>
      </c>
      <c r="I194" t="str">
        <f>_xlfn.XLOOKUP(H194,'SO-DIMM-i5'!A:A,'SO-DIMM-i5'!B:B,_xlfn.XLOOKUP(H194,'SO-DIMM-i5'!H:H,'SO-DIMM-i5'!G:G,""))</f>
        <v/>
      </c>
    </row>
    <row r="195" spans="1:9" hidden="1" x14ac:dyDescent="0.25">
      <c r="A195">
        <v>194</v>
      </c>
      <c r="B195" t="s">
        <v>430</v>
      </c>
      <c r="C195">
        <v>3</v>
      </c>
      <c r="D195" t="s">
        <v>139</v>
      </c>
      <c r="E195" t="s">
        <v>431</v>
      </c>
      <c r="F195" t="b">
        <v>1</v>
      </c>
      <c r="G195" t="s">
        <v>432</v>
      </c>
      <c r="H195" t="s">
        <v>433</v>
      </c>
      <c r="I195" t="str">
        <f>_xlfn.XLOOKUP(H195,'SO-DIMM-i5'!A:A,'SO-DIMM-i5'!B:B,_xlfn.XLOOKUP(H195,'SO-DIMM-i5'!H:H,'SO-DIMM-i5'!G:G,""))</f>
        <v/>
      </c>
    </row>
    <row r="196" spans="1:9" hidden="1" x14ac:dyDescent="0.25">
      <c r="A196">
        <v>195</v>
      </c>
      <c r="B196" t="s">
        <v>434</v>
      </c>
      <c r="C196">
        <v>3</v>
      </c>
      <c r="D196" t="s">
        <v>139</v>
      </c>
      <c r="E196" t="s">
        <v>435</v>
      </c>
      <c r="F196" t="s">
        <v>139</v>
      </c>
      <c r="G196" t="s">
        <v>412</v>
      </c>
      <c r="H196" t="s">
        <v>436</v>
      </c>
      <c r="I196" t="str">
        <f>_xlfn.XLOOKUP(H196,'SO-DIMM-i5'!A:A,'SO-DIMM-i5'!B:B,_xlfn.XLOOKUP(H196,'SO-DIMM-i5'!H:H,'SO-DIMM-i5'!G:G,""))</f>
        <v/>
      </c>
    </row>
    <row r="197" spans="1:9" hidden="1" x14ac:dyDescent="0.25">
      <c r="A197">
        <v>196</v>
      </c>
      <c r="B197" t="s">
        <v>161</v>
      </c>
      <c r="C197" t="s">
        <v>139</v>
      </c>
      <c r="D197" t="s">
        <v>139</v>
      </c>
      <c r="E197" t="s">
        <v>139</v>
      </c>
      <c r="F197" t="s">
        <v>139</v>
      </c>
      <c r="G197" t="s">
        <v>139</v>
      </c>
      <c r="H197" t="s">
        <v>139</v>
      </c>
      <c r="I197" t="str">
        <f>_xlfn.XLOOKUP(H197,'SO-DIMM-i5'!A:A,'SO-DIMM-i5'!B:B,_xlfn.XLOOKUP(H197,'SO-DIMM-i5'!H:H,'SO-DIMM-i5'!G:G,""))</f>
        <v/>
      </c>
    </row>
    <row r="198" spans="1:9" hidden="1" x14ac:dyDescent="0.25">
      <c r="A198">
        <v>197</v>
      </c>
      <c r="B198" t="s">
        <v>437</v>
      </c>
      <c r="C198">
        <v>3</v>
      </c>
      <c r="D198" t="s">
        <v>139</v>
      </c>
      <c r="E198" t="s">
        <v>438</v>
      </c>
      <c r="F198" t="b">
        <v>1</v>
      </c>
      <c r="G198" t="s">
        <v>412</v>
      </c>
      <c r="H198" t="s">
        <v>439</v>
      </c>
      <c r="I198" t="str">
        <f>_xlfn.XLOOKUP(H198,'SO-DIMM-i5'!A:A,'SO-DIMM-i5'!B:B,_xlfn.XLOOKUP(H198,'SO-DIMM-i5'!H:H,'SO-DIMM-i5'!G:G,""))</f>
        <v/>
      </c>
    </row>
    <row r="199" spans="1:9" hidden="1" x14ac:dyDescent="0.25">
      <c r="A199">
        <v>198</v>
      </c>
      <c r="B199" t="s">
        <v>440</v>
      </c>
      <c r="C199">
        <v>3</v>
      </c>
      <c r="D199" t="s">
        <v>139</v>
      </c>
      <c r="E199" t="s">
        <v>441</v>
      </c>
      <c r="F199" t="s">
        <v>139</v>
      </c>
      <c r="G199" t="s">
        <v>412</v>
      </c>
      <c r="H199" t="s">
        <v>442</v>
      </c>
      <c r="I199" t="str">
        <f>_xlfn.XLOOKUP(H199,'SO-DIMM-i5'!A:A,'SO-DIMM-i5'!B:B,_xlfn.XLOOKUP(H199,'SO-DIMM-i5'!H:H,'SO-DIMM-i5'!G:G,""))</f>
        <v/>
      </c>
    </row>
    <row r="200" spans="1:9" hidden="1" x14ac:dyDescent="0.25">
      <c r="A200">
        <v>199</v>
      </c>
      <c r="B200" t="s">
        <v>156</v>
      </c>
      <c r="C200" t="s">
        <v>139</v>
      </c>
      <c r="D200" t="s">
        <v>139</v>
      </c>
      <c r="E200" t="s">
        <v>139</v>
      </c>
      <c r="F200" t="s">
        <v>139</v>
      </c>
      <c r="G200" t="s">
        <v>139</v>
      </c>
      <c r="H200" t="s">
        <v>139</v>
      </c>
      <c r="I200" t="str">
        <f>_xlfn.XLOOKUP(H200,'SO-DIMM-i5'!A:A,'SO-DIMM-i5'!B:B,_xlfn.XLOOKUP(H200,'SO-DIMM-i5'!H:H,'SO-DIMM-i5'!G:G,""))</f>
        <v/>
      </c>
    </row>
    <row r="201" spans="1:9" hidden="1" x14ac:dyDescent="0.25">
      <c r="A201">
        <v>200</v>
      </c>
      <c r="B201" t="s">
        <v>443</v>
      </c>
      <c r="C201">
        <v>3</v>
      </c>
      <c r="D201" t="s">
        <v>139</v>
      </c>
      <c r="E201" t="s">
        <v>444</v>
      </c>
      <c r="F201" t="b">
        <v>1</v>
      </c>
      <c r="G201" t="s">
        <v>412</v>
      </c>
      <c r="H201" t="s">
        <v>445</v>
      </c>
      <c r="I201" t="str">
        <f>_xlfn.XLOOKUP(H201,'SO-DIMM-i5'!A:A,'SO-DIMM-i5'!B:B,_xlfn.XLOOKUP(H201,'SO-DIMM-i5'!H:H,'SO-DIMM-i5'!G:G,""))</f>
        <v/>
      </c>
    </row>
    <row r="202" spans="1:9" x14ac:dyDescent="0.25">
      <c r="A202">
        <v>201</v>
      </c>
      <c r="B202" t="s">
        <v>446</v>
      </c>
      <c r="C202">
        <v>3</v>
      </c>
      <c r="D202" t="s">
        <v>139</v>
      </c>
      <c r="E202" t="s">
        <v>447</v>
      </c>
      <c r="F202" t="s">
        <v>139</v>
      </c>
      <c r="G202" t="s">
        <v>412</v>
      </c>
      <c r="H202" t="s">
        <v>58</v>
      </c>
      <c r="I202">
        <f>_xlfn.XLOOKUP(H202,'SO-DIMM-i5'!A:A,'SO-DIMM-i5'!B:B,_xlfn.XLOOKUP(H202,'SO-DIMM-i5'!H:H,'SO-DIMM-i5'!G:G,""))</f>
        <v>73</v>
      </c>
    </row>
    <row r="203" spans="1:9" hidden="1" x14ac:dyDescent="0.25">
      <c r="A203">
        <v>202</v>
      </c>
      <c r="B203" t="s">
        <v>416</v>
      </c>
      <c r="C203" t="s">
        <v>139</v>
      </c>
      <c r="D203" t="s">
        <v>139</v>
      </c>
      <c r="E203" t="s">
        <v>139</v>
      </c>
      <c r="F203" t="s">
        <v>139</v>
      </c>
      <c r="G203" t="s">
        <v>139</v>
      </c>
      <c r="H203" t="s">
        <v>139</v>
      </c>
      <c r="I203" t="str">
        <f>_xlfn.XLOOKUP(H203,'SO-DIMM-i5'!A:A,'SO-DIMM-i5'!B:B,_xlfn.XLOOKUP(H203,'SO-DIMM-i5'!H:H,'SO-DIMM-i5'!G:G,""))</f>
        <v/>
      </c>
    </row>
    <row r="204" spans="1:9" hidden="1" x14ac:dyDescent="0.25">
      <c r="A204">
        <v>203</v>
      </c>
      <c r="B204" t="s">
        <v>448</v>
      </c>
      <c r="C204">
        <v>3</v>
      </c>
      <c r="D204" t="s">
        <v>139</v>
      </c>
      <c r="E204" t="s">
        <v>449</v>
      </c>
      <c r="F204" t="b">
        <v>1</v>
      </c>
      <c r="G204" t="s">
        <v>412</v>
      </c>
      <c r="H204" t="s">
        <v>450</v>
      </c>
      <c r="I204" t="str">
        <f>_xlfn.XLOOKUP(H204,'SO-DIMM-i5'!A:A,'SO-DIMM-i5'!B:B,_xlfn.XLOOKUP(H204,'SO-DIMM-i5'!H:H,'SO-DIMM-i5'!G:G,""))</f>
        <v/>
      </c>
    </row>
    <row r="205" spans="1:9" hidden="1" x14ac:dyDescent="0.25">
      <c r="A205">
        <v>204</v>
      </c>
      <c r="B205" t="s">
        <v>451</v>
      </c>
      <c r="C205">
        <v>3</v>
      </c>
      <c r="D205" t="s">
        <v>139</v>
      </c>
      <c r="E205" t="s">
        <v>452</v>
      </c>
      <c r="F205" t="s">
        <v>139</v>
      </c>
      <c r="G205" t="s">
        <v>412</v>
      </c>
      <c r="H205" t="s">
        <v>453</v>
      </c>
      <c r="I205" t="str">
        <f>_xlfn.XLOOKUP(H205,'SO-DIMM-i5'!A:A,'SO-DIMM-i5'!B:B,_xlfn.XLOOKUP(H205,'SO-DIMM-i5'!H:H,'SO-DIMM-i5'!G:G,""))</f>
        <v/>
      </c>
    </row>
    <row r="206" spans="1:9" hidden="1" x14ac:dyDescent="0.25">
      <c r="A206">
        <v>205</v>
      </c>
      <c r="B206" t="s">
        <v>419</v>
      </c>
      <c r="C206" t="s">
        <v>139</v>
      </c>
      <c r="D206" t="s">
        <v>139</v>
      </c>
      <c r="E206" t="s">
        <v>139</v>
      </c>
      <c r="F206" t="s">
        <v>139</v>
      </c>
      <c r="G206" t="s">
        <v>139</v>
      </c>
      <c r="H206" t="s">
        <v>139</v>
      </c>
      <c r="I206" t="str">
        <f>_xlfn.XLOOKUP(H206,'SO-DIMM-i5'!A:A,'SO-DIMM-i5'!B:B,_xlfn.XLOOKUP(H206,'SO-DIMM-i5'!H:H,'SO-DIMM-i5'!G:G,""))</f>
        <v/>
      </c>
    </row>
    <row r="207" spans="1:9" hidden="1" x14ac:dyDescent="0.25">
      <c r="A207">
        <v>206</v>
      </c>
      <c r="B207" t="s">
        <v>454</v>
      </c>
      <c r="C207">
        <v>3</v>
      </c>
      <c r="D207" t="s">
        <v>139</v>
      </c>
      <c r="E207" t="s">
        <v>455</v>
      </c>
      <c r="F207" t="b">
        <v>1</v>
      </c>
      <c r="G207" t="s">
        <v>412</v>
      </c>
      <c r="H207" t="s">
        <v>456</v>
      </c>
      <c r="I207" t="str">
        <f>_xlfn.XLOOKUP(H207,'SO-DIMM-i5'!A:A,'SO-DIMM-i5'!B:B,_xlfn.XLOOKUP(H207,'SO-DIMM-i5'!H:H,'SO-DIMM-i5'!G:G,""))</f>
        <v/>
      </c>
    </row>
    <row r="208" spans="1:9" x14ac:dyDescent="0.25">
      <c r="A208">
        <v>207</v>
      </c>
      <c r="B208" t="s">
        <v>457</v>
      </c>
      <c r="C208">
        <v>3</v>
      </c>
      <c r="D208" t="s">
        <v>139</v>
      </c>
      <c r="E208" t="s">
        <v>458</v>
      </c>
      <c r="F208" t="s">
        <v>139</v>
      </c>
      <c r="G208" t="s">
        <v>459</v>
      </c>
      <c r="H208" t="s">
        <v>46</v>
      </c>
      <c r="I208">
        <f>_xlfn.XLOOKUP(H208,'SO-DIMM-i5'!A:A,'SO-DIMM-i5'!B:B,_xlfn.XLOOKUP(H208,'SO-DIMM-i5'!H:H,'SO-DIMM-i5'!G:G,""))</f>
        <v>61</v>
      </c>
    </row>
    <row r="209" spans="1:10" hidden="1" x14ac:dyDescent="0.25">
      <c r="A209">
        <v>208</v>
      </c>
      <c r="B209" t="s">
        <v>416</v>
      </c>
      <c r="C209" t="s">
        <v>139</v>
      </c>
      <c r="D209" t="s">
        <v>139</v>
      </c>
      <c r="E209" t="s">
        <v>139</v>
      </c>
      <c r="F209" t="s">
        <v>139</v>
      </c>
      <c r="G209" t="s">
        <v>139</v>
      </c>
      <c r="H209" t="s">
        <v>139</v>
      </c>
      <c r="I209" t="str">
        <f>_xlfn.XLOOKUP(H209,'SO-DIMM-i5'!A:A,'SO-DIMM-i5'!B:B,_xlfn.XLOOKUP(H209,'SO-DIMM-i5'!H:H,'SO-DIMM-i5'!G:G,""))</f>
        <v/>
      </c>
    </row>
    <row r="210" spans="1:10" x14ac:dyDescent="0.25">
      <c r="A210">
        <v>209</v>
      </c>
      <c r="B210" t="s">
        <v>460</v>
      </c>
      <c r="C210">
        <v>3</v>
      </c>
      <c r="D210" t="s">
        <v>461</v>
      </c>
      <c r="E210" t="s">
        <v>462</v>
      </c>
      <c r="F210" t="b">
        <v>1</v>
      </c>
      <c r="G210" t="s">
        <v>459</v>
      </c>
      <c r="H210" t="s">
        <v>63</v>
      </c>
      <c r="I210">
        <f>_xlfn.XLOOKUP(H210,'SO-DIMM-i5'!A:A,'SO-DIMM-i5'!B:B,_xlfn.XLOOKUP(H210,'SO-DIMM-i5'!H:H,'SO-DIMM-i5'!G:G,""))</f>
        <v>78</v>
      </c>
    </row>
    <row r="211" spans="1:10" hidden="1" x14ac:dyDescent="0.25">
      <c r="A211">
        <v>210</v>
      </c>
      <c r="B211" t="s">
        <v>463</v>
      </c>
      <c r="C211">
        <v>3</v>
      </c>
      <c r="D211" t="s">
        <v>139</v>
      </c>
      <c r="E211" t="s">
        <v>464</v>
      </c>
      <c r="F211" t="s">
        <v>139</v>
      </c>
      <c r="G211" t="s">
        <v>459</v>
      </c>
      <c r="H211" t="s">
        <v>465</v>
      </c>
      <c r="I211" t="str">
        <f>_xlfn.XLOOKUP(H211,'SO-DIMM-i5'!A:A,'SO-DIMM-i5'!B:B,_xlfn.XLOOKUP(H211,'SO-DIMM-i5'!H:H,'SO-DIMM-i5'!G:G,""))</f>
        <v/>
      </c>
    </row>
    <row r="212" spans="1:10" hidden="1" x14ac:dyDescent="0.25">
      <c r="A212">
        <v>211</v>
      </c>
      <c r="B212" t="s">
        <v>419</v>
      </c>
      <c r="C212" t="s">
        <v>139</v>
      </c>
      <c r="D212" t="s">
        <v>139</v>
      </c>
      <c r="E212" t="s">
        <v>139</v>
      </c>
      <c r="F212" t="s">
        <v>139</v>
      </c>
      <c r="G212" t="s">
        <v>139</v>
      </c>
      <c r="H212" t="s">
        <v>139</v>
      </c>
      <c r="I212" t="str">
        <f>_xlfn.XLOOKUP(H212,'SO-DIMM-i5'!A:A,'SO-DIMM-i5'!B:B,_xlfn.XLOOKUP(H212,'SO-DIMM-i5'!H:H,'SO-DIMM-i5'!G:G,""))</f>
        <v/>
      </c>
    </row>
    <row r="213" spans="1:10" x14ac:dyDescent="0.25">
      <c r="A213">
        <v>212</v>
      </c>
      <c r="B213" t="s">
        <v>466</v>
      </c>
      <c r="C213">
        <v>3</v>
      </c>
      <c r="D213" t="s">
        <v>139</v>
      </c>
      <c r="E213" t="s">
        <v>467</v>
      </c>
      <c r="F213" t="b">
        <v>1</v>
      </c>
      <c r="G213" t="s">
        <v>459</v>
      </c>
      <c r="H213" t="s">
        <v>60</v>
      </c>
      <c r="I213">
        <f>_xlfn.XLOOKUP(H213,'SO-DIMM-i5'!A:A,'SO-DIMM-i5'!B:B,_xlfn.XLOOKUP(H213,'SO-DIMM-i5'!H:H,'SO-DIMM-i5'!G:G,""))</f>
        <v>75</v>
      </c>
    </row>
    <row r="214" spans="1:10" x14ac:dyDescent="0.25">
      <c r="A214">
        <v>213</v>
      </c>
      <c r="B214" t="s">
        <v>468</v>
      </c>
      <c r="C214">
        <v>3</v>
      </c>
      <c r="D214" t="s">
        <v>139</v>
      </c>
      <c r="E214" t="s">
        <v>469</v>
      </c>
      <c r="F214" t="s">
        <v>139</v>
      </c>
      <c r="G214" t="s">
        <v>459</v>
      </c>
      <c r="H214" t="s">
        <v>48</v>
      </c>
      <c r="I214">
        <f>_xlfn.XLOOKUP(H214,'SO-DIMM-i5'!A:A,'SO-DIMM-i5'!B:B,_xlfn.XLOOKUP(H214,'SO-DIMM-i5'!H:H,'SO-DIMM-i5'!G:G,""))</f>
        <v>63</v>
      </c>
    </row>
    <row r="215" spans="1:10" hidden="1" x14ac:dyDescent="0.25">
      <c r="A215">
        <v>214</v>
      </c>
      <c r="B215" t="s">
        <v>161</v>
      </c>
      <c r="C215" t="s">
        <v>139</v>
      </c>
      <c r="D215" t="s">
        <v>139</v>
      </c>
      <c r="E215" t="s">
        <v>139</v>
      </c>
      <c r="F215" t="s">
        <v>139</v>
      </c>
      <c r="G215" t="s">
        <v>139</v>
      </c>
      <c r="H215" t="s">
        <v>139</v>
      </c>
      <c r="I215" t="str">
        <f>_xlfn.XLOOKUP(H215,'SO-DIMM-i5'!A:A,'SO-DIMM-i5'!B:B,_xlfn.XLOOKUP(H215,'SO-DIMM-i5'!H:H,'SO-DIMM-i5'!G:G,""))</f>
        <v/>
      </c>
    </row>
    <row r="216" spans="1:10" x14ac:dyDescent="0.25">
      <c r="A216">
        <v>215</v>
      </c>
      <c r="B216" t="s">
        <v>470</v>
      </c>
      <c r="C216">
        <v>3</v>
      </c>
      <c r="D216" t="s">
        <v>139</v>
      </c>
      <c r="E216" t="s">
        <v>471</v>
      </c>
      <c r="F216" t="b">
        <v>1</v>
      </c>
      <c r="G216" t="s">
        <v>472</v>
      </c>
      <c r="H216" t="s">
        <v>50</v>
      </c>
      <c r="I216">
        <f>_xlfn.XLOOKUP(H216,'SO-DIMM-i5'!A:A,'SO-DIMM-i5'!B:B,_xlfn.XLOOKUP(H216,'SO-DIMM-i5'!H:H,'SO-DIMM-i5'!G:G,""))</f>
        <v>65</v>
      </c>
    </row>
    <row r="217" spans="1:10" x14ac:dyDescent="0.25">
      <c r="A217">
        <v>216</v>
      </c>
      <c r="B217" t="s">
        <v>473</v>
      </c>
      <c r="C217">
        <v>3</v>
      </c>
      <c r="D217" t="s">
        <v>139</v>
      </c>
      <c r="E217" t="s">
        <v>474</v>
      </c>
      <c r="F217" t="s">
        <v>139</v>
      </c>
      <c r="G217" t="s">
        <v>459</v>
      </c>
      <c r="H217" t="s">
        <v>62</v>
      </c>
      <c r="I217">
        <f>_xlfn.XLOOKUP(H217,'SO-DIMM-i5'!A:A,'SO-DIMM-i5'!B:B,_xlfn.XLOOKUP(H217,'SO-DIMM-i5'!H:H,'SO-DIMM-i5'!G:G,""))</f>
        <v>77</v>
      </c>
    </row>
    <row r="218" spans="1:10" hidden="1" x14ac:dyDescent="0.25">
      <c r="A218">
        <v>217</v>
      </c>
      <c r="B218" t="s">
        <v>167</v>
      </c>
      <c r="C218" t="s">
        <v>139</v>
      </c>
      <c r="D218" t="s">
        <v>139</v>
      </c>
      <c r="E218" t="s">
        <v>139</v>
      </c>
      <c r="F218" t="s">
        <v>139</v>
      </c>
      <c r="G218" t="s">
        <v>139</v>
      </c>
      <c r="H218" t="s">
        <v>139</v>
      </c>
      <c r="I218" t="str">
        <f>_xlfn.XLOOKUP(H218,'SO-DIMM-i5'!A:A,'SO-DIMM-i5'!B:B,_xlfn.XLOOKUP(H218,'SO-DIMM-i5'!H:H,'SO-DIMM-i5'!G:G,""))</f>
        <v/>
      </c>
    </row>
    <row r="219" spans="1:10" hidden="1" x14ac:dyDescent="0.25">
      <c r="A219">
        <v>218</v>
      </c>
      <c r="B219" t="s">
        <v>475</v>
      </c>
      <c r="C219">
        <v>3</v>
      </c>
      <c r="D219" t="s">
        <v>139</v>
      </c>
      <c r="E219" t="s">
        <v>476</v>
      </c>
      <c r="F219" t="b">
        <v>1</v>
      </c>
      <c r="G219" t="s">
        <v>477</v>
      </c>
      <c r="H219" t="s">
        <v>478</v>
      </c>
      <c r="I219" t="str">
        <f>_xlfn.XLOOKUP(H219,'SO-DIMM-i5'!A:A,'SO-DIMM-i5'!B:B,_xlfn.XLOOKUP(H219,'SO-DIMM-i5'!H:H,'SO-DIMM-i5'!G:G,""))</f>
        <v/>
      </c>
    </row>
    <row r="220" spans="1:10" x14ac:dyDescent="0.25">
      <c r="A220">
        <v>219</v>
      </c>
      <c r="B220" t="s">
        <v>479</v>
      </c>
      <c r="C220">
        <v>3</v>
      </c>
      <c r="D220" t="s">
        <v>139</v>
      </c>
      <c r="E220" t="s">
        <v>480</v>
      </c>
      <c r="F220" t="s">
        <v>139</v>
      </c>
      <c r="G220" t="s">
        <v>459</v>
      </c>
      <c r="H220" t="s">
        <v>64</v>
      </c>
      <c r="I220">
        <f>_xlfn.XLOOKUP(H220,'SO-DIMM-i5'!A:A,'SO-DIMM-i5'!B:B,_xlfn.XLOOKUP(H220,'SO-DIMM-i5'!H:H,'SO-DIMM-i5'!G:G,""))</f>
        <v>79</v>
      </c>
    </row>
    <row r="221" spans="1:10" hidden="1" x14ac:dyDescent="0.25">
      <c r="A221">
        <v>220</v>
      </c>
      <c r="B221" t="s">
        <v>161</v>
      </c>
      <c r="C221" t="s">
        <v>139</v>
      </c>
      <c r="D221" t="s">
        <v>139</v>
      </c>
      <c r="E221" t="s">
        <v>139</v>
      </c>
      <c r="F221" t="s">
        <v>139</v>
      </c>
      <c r="G221" t="s">
        <v>139</v>
      </c>
      <c r="H221" t="s">
        <v>139</v>
      </c>
      <c r="I221" t="str">
        <f>_xlfn.XLOOKUP(H221,'SO-DIMM-i5'!A:A,'SO-DIMM-i5'!B:B,_xlfn.XLOOKUP(H221,'SO-DIMM-i5'!H:H,'SO-DIMM-i5'!G:G,""))</f>
        <v/>
      </c>
    </row>
    <row r="222" spans="1:10" hidden="1" x14ac:dyDescent="0.25">
      <c r="A222">
        <v>221</v>
      </c>
      <c r="B222" t="s">
        <v>481</v>
      </c>
      <c r="C222">
        <v>3</v>
      </c>
      <c r="D222" t="s">
        <v>139</v>
      </c>
      <c r="E222" t="s">
        <v>482</v>
      </c>
      <c r="F222" t="b">
        <v>1</v>
      </c>
      <c r="G222" t="s">
        <v>459</v>
      </c>
      <c r="H222" t="s">
        <v>483</v>
      </c>
      <c r="I222" t="str">
        <f>_xlfn.XLOOKUP(H222,'SO-DIMM-i5'!A:A,'SO-DIMM-i5'!B:B,_xlfn.XLOOKUP(H222,'SO-DIMM-i5'!H:H,'SO-DIMM-i5'!G:G,""))</f>
        <v/>
      </c>
    </row>
    <row r="223" spans="1:10" x14ac:dyDescent="0.25">
      <c r="A223">
        <v>222</v>
      </c>
      <c r="B223" t="s">
        <v>484</v>
      </c>
      <c r="C223">
        <v>3</v>
      </c>
      <c r="D223" t="s">
        <v>485</v>
      </c>
      <c r="E223" t="s">
        <v>486</v>
      </c>
      <c r="F223" t="s">
        <v>139</v>
      </c>
      <c r="G223" t="s">
        <v>459</v>
      </c>
      <c r="H223" t="s">
        <v>67</v>
      </c>
      <c r="I223">
        <f>_xlfn.XLOOKUP(H223,'SO-DIMM-i5'!A:A,'SO-DIMM-i5'!B:B,_xlfn.XLOOKUP(H223,'SO-DIMM-i5'!H:H,'SO-DIMM-i5'!G:G,""))</f>
        <v>83</v>
      </c>
      <c r="J223" s="3">
        <f>I223</f>
        <v>83</v>
      </c>
    </row>
    <row r="224" spans="1:10" hidden="1" x14ac:dyDescent="0.25">
      <c r="A224">
        <v>223</v>
      </c>
      <c r="B224" t="s">
        <v>156</v>
      </c>
      <c r="C224" t="s">
        <v>139</v>
      </c>
      <c r="D224" t="s">
        <v>139</v>
      </c>
      <c r="E224" t="s">
        <v>139</v>
      </c>
      <c r="F224" t="s">
        <v>139</v>
      </c>
      <c r="G224" t="s">
        <v>139</v>
      </c>
      <c r="H224" t="s">
        <v>139</v>
      </c>
      <c r="I224" t="str">
        <f>_xlfn.XLOOKUP(H224,'SO-DIMM-i5'!A:A,'SO-DIMM-i5'!B:B,_xlfn.XLOOKUP(H224,'SO-DIMM-i5'!H:H,'SO-DIMM-i5'!G:G,""))</f>
        <v/>
      </c>
    </row>
    <row r="225" spans="1:10" hidden="1" x14ac:dyDescent="0.25">
      <c r="A225">
        <v>224</v>
      </c>
      <c r="B225" t="s">
        <v>487</v>
      </c>
      <c r="C225">
        <v>3</v>
      </c>
      <c r="D225" t="s">
        <v>488</v>
      </c>
      <c r="E225" t="s">
        <v>489</v>
      </c>
      <c r="F225" t="b">
        <v>1</v>
      </c>
      <c r="G225" t="s">
        <v>459</v>
      </c>
      <c r="H225" t="s">
        <v>490</v>
      </c>
      <c r="I225" t="str">
        <f>_xlfn.XLOOKUP(H225,'SO-DIMM-i5'!A:A,'SO-DIMM-i5'!B:B,_xlfn.XLOOKUP(H225,'SO-DIMM-i5'!H:H,'SO-DIMM-i5'!G:G,""))</f>
        <v/>
      </c>
    </row>
    <row r="226" spans="1:10" hidden="1" x14ac:dyDescent="0.25">
      <c r="A226">
        <v>225</v>
      </c>
      <c r="B226" t="s">
        <v>491</v>
      </c>
      <c r="C226">
        <v>3</v>
      </c>
      <c r="D226" t="s">
        <v>492</v>
      </c>
      <c r="E226" t="s">
        <v>493</v>
      </c>
      <c r="F226" t="s">
        <v>139</v>
      </c>
      <c r="G226" t="s">
        <v>459</v>
      </c>
      <c r="H226" t="s">
        <v>494</v>
      </c>
      <c r="I226" t="str">
        <f>_xlfn.XLOOKUP(H226,'SO-DIMM-i5'!A:A,'SO-DIMM-i5'!B:B,_xlfn.XLOOKUP(H226,'SO-DIMM-i5'!H:H,'SO-DIMM-i5'!G:G,""))</f>
        <v/>
      </c>
    </row>
    <row r="227" spans="1:10" hidden="1" x14ac:dyDescent="0.25">
      <c r="A227">
        <v>226</v>
      </c>
      <c r="B227" t="s">
        <v>416</v>
      </c>
      <c r="C227" t="s">
        <v>139</v>
      </c>
      <c r="D227" t="s">
        <v>139</v>
      </c>
      <c r="E227" t="s">
        <v>139</v>
      </c>
      <c r="F227" t="s">
        <v>139</v>
      </c>
      <c r="G227" t="s">
        <v>139</v>
      </c>
      <c r="H227" t="s">
        <v>139</v>
      </c>
      <c r="I227" t="str">
        <f>_xlfn.XLOOKUP(H227,'SO-DIMM-i5'!A:A,'SO-DIMM-i5'!B:B,_xlfn.XLOOKUP(H227,'SO-DIMM-i5'!H:H,'SO-DIMM-i5'!G:G,""))</f>
        <v/>
      </c>
    </row>
    <row r="228" spans="1:10" hidden="1" x14ac:dyDescent="0.25">
      <c r="A228">
        <v>227</v>
      </c>
      <c r="B228" t="s">
        <v>495</v>
      </c>
      <c r="C228">
        <v>3</v>
      </c>
      <c r="D228" t="s">
        <v>496</v>
      </c>
      <c r="E228" t="s">
        <v>497</v>
      </c>
      <c r="F228" t="b">
        <v>1</v>
      </c>
      <c r="G228" t="s">
        <v>459</v>
      </c>
      <c r="H228" t="s">
        <v>498</v>
      </c>
      <c r="I228" t="str">
        <f>_xlfn.XLOOKUP(H228,'SO-DIMM-i5'!A:A,'SO-DIMM-i5'!B:B,_xlfn.XLOOKUP(H228,'SO-DIMM-i5'!H:H,'SO-DIMM-i5'!G:G,""))</f>
        <v/>
      </c>
    </row>
    <row r="229" spans="1:10" hidden="1" x14ac:dyDescent="0.25">
      <c r="A229">
        <v>228</v>
      </c>
      <c r="B229" t="s">
        <v>499</v>
      </c>
      <c r="C229">
        <v>3</v>
      </c>
      <c r="D229" t="s">
        <v>500</v>
      </c>
      <c r="E229" t="s">
        <v>501</v>
      </c>
      <c r="F229" t="s">
        <v>139</v>
      </c>
      <c r="G229" t="s">
        <v>459</v>
      </c>
      <c r="H229" t="s">
        <v>502</v>
      </c>
      <c r="I229" t="str">
        <f>_xlfn.XLOOKUP(H229,'SO-DIMM-i5'!A:A,'SO-DIMM-i5'!B:B,_xlfn.XLOOKUP(H229,'SO-DIMM-i5'!H:H,'SO-DIMM-i5'!G:G,""))</f>
        <v/>
      </c>
    </row>
    <row r="230" spans="1:10" hidden="1" x14ac:dyDescent="0.25">
      <c r="A230">
        <v>229</v>
      </c>
      <c r="B230" t="s">
        <v>419</v>
      </c>
      <c r="C230" t="s">
        <v>139</v>
      </c>
      <c r="D230" t="s">
        <v>139</v>
      </c>
      <c r="E230" t="s">
        <v>139</v>
      </c>
      <c r="F230" t="s">
        <v>139</v>
      </c>
      <c r="G230" t="s">
        <v>139</v>
      </c>
      <c r="H230" t="s">
        <v>139</v>
      </c>
      <c r="I230" t="str">
        <f>_xlfn.XLOOKUP(H230,'SO-DIMM-i5'!A:A,'SO-DIMM-i5'!B:B,_xlfn.XLOOKUP(H230,'SO-DIMM-i5'!H:H,'SO-DIMM-i5'!G:G,""))</f>
        <v/>
      </c>
    </row>
    <row r="231" spans="1:10" x14ac:dyDescent="0.25">
      <c r="A231">
        <v>230</v>
      </c>
      <c r="B231" t="s">
        <v>503</v>
      </c>
      <c r="C231">
        <v>3</v>
      </c>
      <c r="D231" t="s">
        <v>504</v>
      </c>
      <c r="E231" t="s">
        <v>505</v>
      </c>
      <c r="F231" t="b">
        <v>1</v>
      </c>
      <c r="G231" t="s">
        <v>459</v>
      </c>
      <c r="H231" t="s">
        <v>11</v>
      </c>
      <c r="I231">
        <f>_xlfn.XLOOKUP(H231,'SO-DIMM-i5'!A:A,'SO-DIMM-i5'!B:B,_xlfn.XLOOKUP(H231,'SO-DIMM-i5'!H:H,'SO-DIMM-i5'!G:G,""))</f>
        <v>81</v>
      </c>
      <c r="J231" s="2">
        <f>I231</f>
        <v>81</v>
      </c>
    </row>
    <row r="232" spans="1:10" x14ac:dyDescent="0.25">
      <c r="A232">
        <v>231</v>
      </c>
      <c r="B232" t="s">
        <v>506</v>
      </c>
      <c r="C232">
        <v>2</v>
      </c>
      <c r="D232" t="s">
        <v>507</v>
      </c>
      <c r="E232" t="s">
        <v>508</v>
      </c>
      <c r="F232" t="s">
        <v>139</v>
      </c>
      <c r="G232" t="s">
        <v>509</v>
      </c>
      <c r="H232" t="s">
        <v>69</v>
      </c>
      <c r="I232">
        <f>_xlfn.XLOOKUP(H232,'SO-DIMM-i5'!A:A,'SO-DIMM-i5'!B:B,_xlfn.XLOOKUP(H232,'SO-DIMM-i5'!H:H,'SO-DIMM-i5'!G:G,""))</f>
        <v>85</v>
      </c>
    </row>
    <row r="233" spans="1:10" hidden="1" x14ac:dyDescent="0.25">
      <c r="A233">
        <v>232</v>
      </c>
      <c r="B233" t="s">
        <v>510</v>
      </c>
      <c r="C233" t="s">
        <v>139</v>
      </c>
      <c r="D233" t="s">
        <v>139</v>
      </c>
      <c r="E233" t="s">
        <v>139</v>
      </c>
      <c r="F233" t="s">
        <v>139</v>
      </c>
      <c r="G233" t="s">
        <v>139</v>
      </c>
      <c r="H233" t="s">
        <v>139</v>
      </c>
      <c r="I233" t="str">
        <f>_xlfn.XLOOKUP(H233,'SO-DIMM-i5'!A:A,'SO-DIMM-i5'!B:B,_xlfn.XLOOKUP(H233,'SO-DIMM-i5'!H:H,'SO-DIMM-i5'!G:G,""))</f>
        <v/>
      </c>
    </row>
    <row r="234" spans="1:10" x14ac:dyDescent="0.25">
      <c r="A234">
        <v>233</v>
      </c>
      <c r="B234" t="s">
        <v>511</v>
      </c>
      <c r="C234">
        <v>2</v>
      </c>
      <c r="D234" t="s">
        <v>512</v>
      </c>
      <c r="E234" t="s">
        <v>513</v>
      </c>
      <c r="F234" t="b">
        <v>1</v>
      </c>
      <c r="G234" t="s">
        <v>509</v>
      </c>
      <c r="H234" t="s">
        <v>13</v>
      </c>
      <c r="I234">
        <f>_xlfn.XLOOKUP(H234,'SO-DIMM-i5'!A:A,'SO-DIMM-i5'!B:B,_xlfn.XLOOKUP(H234,'SO-DIMM-i5'!H:H,'SO-DIMM-i5'!G:G,""))</f>
        <v>87</v>
      </c>
    </row>
    <row r="235" spans="1:10" x14ac:dyDescent="0.25">
      <c r="A235">
        <v>234</v>
      </c>
      <c r="B235" t="s">
        <v>514</v>
      </c>
      <c r="C235">
        <v>2</v>
      </c>
      <c r="D235" t="s">
        <v>515</v>
      </c>
      <c r="E235" t="s">
        <v>516</v>
      </c>
      <c r="F235" t="s">
        <v>139</v>
      </c>
      <c r="G235" t="s">
        <v>509</v>
      </c>
      <c r="H235" t="s">
        <v>72</v>
      </c>
      <c r="I235">
        <f>_xlfn.XLOOKUP(H235,'SO-DIMM-i5'!A:A,'SO-DIMM-i5'!B:B,_xlfn.XLOOKUP(H235,'SO-DIMM-i5'!H:H,'SO-DIMM-i5'!G:G,""))</f>
        <v>89</v>
      </c>
      <c r="J235" s="2">
        <f>I235</f>
        <v>89</v>
      </c>
    </row>
    <row r="236" spans="1:10" hidden="1" x14ac:dyDescent="0.25">
      <c r="A236">
        <v>235</v>
      </c>
      <c r="B236" t="s">
        <v>517</v>
      </c>
      <c r="C236" t="s">
        <v>139</v>
      </c>
      <c r="D236" t="s">
        <v>139</v>
      </c>
      <c r="E236" t="s">
        <v>139</v>
      </c>
      <c r="F236" t="s">
        <v>139</v>
      </c>
      <c r="G236" t="s">
        <v>139</v>
      </c>
      <c r="H236" t="s">
        <v>139</v>
      </c>
      <c r="I236" t="str">
        <f>_xlfn.XLOOKUP(H236,'SO-DIMM-i5'!A:A,'SO-DIMM-i5'!B:B,_xlfn.XLOOKUP(H236,'SO-DIMM-i5'!H:H,'SO-DIMM-i5'!G:G,""))</f>
        <v/>
      </c>
    </row>
    <row r="237" spans="1:10" x14ac:dyDescent="0.25">
      <c r="A237">
        <v>236</v>
      </c>
      <c r="B237" t="s">
        <v>518</v>
      </c>
      <c r="C237">
        <v>2</v>
      </c>
      <c r="D237" t="s">
        <v>519</v>
      </c>
      <c r="E237" t="s">
        <v>520</v>
      </c>
      <c r="F237" t="b">
        <v>1</v>
      </c>
      <c r="G237" t="s">
        <v>509</v>
      </c>
      <c r="H237" t="s">
        <v>16</v>
      </c>
      <c r="I237">
        <f>_xlfn.XLOOKUP(H237,'SO-DIMM-i5'!A:A,'SO-DIMM-i5'!B:B,_xlfn.XLOOKUP(H237,'SO-DIMM-i5'!H:H,'SO-DIMM-i5'!G:G,""))</f>
        <v>91</v>
      </c>
      <c r="J237" s="2">
        <f>I237</f>
        <v>91</v>
      </c>
    </row>
    <row r="238" spans="1:10" x14ac:dyDescent="0.25">
      <c r="A238">
        <v>237</v>
      </c>
      <c r="B238" t="s">
        <v>521</v>
      </c>
      <c r="C238">
        <v>2</v>
      </c>
      <c r="D238" t="s">
        <v>139</v>
      </c>
      <c r="E238" t="s">
        <v>522</v>
      </c>
      <c r="F238" t="s">
        <v>139</v>
      </c>
      <c r="G238" t="s">
        <v>509</v>
      </c>
      <c r="H238" t="s">
        <v>37</v>
      </c>
      <c r="I238">
        <f>_xlfn.XLOOKUP(H238,'SO-DIMM-i5'!A:A,'SO-DIMM-i5'!B:B,_xlfn.XLOOKUP(H238,'SO-DIMM-i5'!H:H,'SO-DIMM-i5'!G:G,""))</f>
        <v>49</v>
      </c>
    </row>
    <row r="239" spans="1:10" hidden="1" x14ac:dyDescent="0.25">
      <c r="A239">
        <v>238</v>
      </c>
      <c r="B239" t="s">
        <v>161</v>
      </c>
      <c r="C239" t="s">
        <v>139</v>
      </c>
      <c r="D239" t="s">
        <v>139</v>
      </c>
      <c r="E239" t="s">
        <v>139</v>
      </c>
      <c r="F239" t="s">
        <v>139</v>
      </c>
      <c r="G239" t="s">
        <v>139</v>
      </c>
      <c r="H239" t="s">
        <v>139</v>
      </c>
      <c r="I239" t="str">
        <f>_xlfn.XLOOKUP(H239,'SO-DIMM-i5'!A:A,'SO-DIMM-i5'!B:B,_xlfn.XLOOKUP(H239,'SO-DIMM-i5'!H:H,'SO-DIMM-i5'!G:G,""))</f>
        <v/>
      </c>
    </row>
    <row r="240" spans="1:10" x14ac:dyDescent="0.25">
      <c r="A240">
        <v>239</v>
      </c>
      <c r="B240" t="s">
        <v>523</v>
      </c>
      <c r="C240">
        <v>2</v>
      </c>
      <c r="D240" t="s">
        <v>139</v>
      </c>
      <c r="E240" t="s">
        <v>524</v>
      </c>
      <c r="F240" t="b">
        <v>1</v>
      </c>
      <c r="G240" t="s">
        <v>525</v>
      </c>
      <c r="H240" t="s">
        <v>75</v>
      </c>
      <c r="I240">
        <f>_xlfn.XLOOKUP(H240,'SO-DIMM-i5'!A:A,'SO-DIMM-i5'!B:B,_xlfn.XLOOKUP(H240,'SO-DIMM-i5'!H:H,'SO-DIMM-i5'!G:G,""))</f>
        <v>93</v>
      </c>
    </row>
    <row r="241" spans="1:11" x14ac:dyDescent="0.25">
      <c r="A241">
        <v>240</v>
      </c>
      <c r="B241" t="s">
        <v>526</v>
      </c>
      <c r="C241">
        <v>2</v>
      </c>
      <c r="D241" t="s">
        <v>527</v>
      </c>
      <c r="E241" t="s">
        <v>528</v>
      </c>
      <c r="F241" t="s">
        <v>139</v>
      </c>
      <c r="G241" t="s">
        <v>509</v>
      </c>
      <c r="H241" t="s">
        <v>66</v>
      </c>
      <c r="I241">
        <f>_xlfn.XLOOKUP(H241,'SO-DIMM-i5'!A:A,'SO-DIMM-i5'!B:B,_xlfn.XLOOKUP(H241,'SO-DIMM-i5'!H:H,'SO-DIMM-i5'!G:G,""))</f>
        <v>82</v>
      </c>
      <c r="K241" s="3">
        <f>I241</f>
        <v>82</v>
      </c>
    </row>
    <row r="242" spans="1:11" hidden="1" x14ac:dyDescent="0.25">
      <c r="A242">
        <v>241</v>
      </c>
      <c r="B242" t="s">
        <v>167</v>
      </c>
      <c r="C242" t="s">
        <v>139</v>
      </c>
      <c r="D242" t="s">
        <v>139</v>
      </c>
      <c r="E242" t="s">
        <v>139</v>
      </c>
      <c r="F242" t="s">
        <v>139</v>
      </c>
      <c r="G242" t="s">
        <v>139</v>
      </c>
      <c r="H242" t="s">
        <v>139</v>
      </c>
      <c r="I242" t="str">
        <f>_xlfn.XLOOKUP(H242,'SO-DIMM-i5'!A:A,'SO-DIMM-i5'!B:B,_xlfn.XLOOKUP(H242,'SO-DIMM-i5'!H:H,'SO-DIMM-i5'!G:G,""))</f>
        <v/>
      </c>
    </row>
    <row r="243" spans="1:11" x14ac:dyDescent="0.25">
      <c r="A243">
        <v>242</v>
      </c>
      <c r="B243" t="s">
        <v>529</v>
      </c>
      <c r="C243">
        <v>2</v>
      </c>
      <c r="D243" t="s">
        <v>530</v>
      </c>
      <c r="E243" t="s">
        <v>531</v>
      </c>
      <c r="F243" t="b">
        <v>1</v>
      </c>
      <c r="G243" t="s">
        <v>532</v>
      </c>
      <c r="H243" t="s">
        <v>19</v>
      </c>
      <c r="I243">
        <f>_xlfn.XLOOKUP(H243,'SO-DIMM-i5'!A:A,'SO-DIMM-i5'!B:B,_xlfn.XLOOKUP(H243,'SO-DIMM-i5'!H:H,'SO-DIMM-i5'!G:G,""))</f>
        <v>97</v>
      </c>
      <c r="J243" s="3">
        <f>I243</f>
        <v>97</v>
      </c>
    </row>
    <row r="244" spans="1:11" x14ac:dyDescent="0.25">
      <c r="A244">
        <v>243</v>
      </c>
      <c r="B244" t="s">
        <v>533</v>
      </c>
      <c r="C244">
        <v>2</v>
      </c>
      <c r="D244" t="s">
        <v>139</v>
      </c>
      <c r="E244" t="s">
        <v>534</v>
      </c>
      <c r="F244" t="s">
        <v>139</v>
      </c>
      <c r="G244" t="s">
        <v>509</v>
      </c>
      <c r="H244" t="s">
        <v>77</v>
      </c>
      <c r="I244">
        <f>_xlfn.XLOOKUP(H244,'SO-DIMM-i5'!A:A,'SO-DIMM-i5'!B:B,_xlfn.XLOOKUP(H244,'SO-DIMM-i5'!H:H,'SO-DIMM-i5'!G:G,""))</f>
        <v>95</v>
      </c>
    </row>
    <row r="245" spans="1:11" hidden="1" x14ac:dyDescent="0.25">
      <c r="A245">
        <v>244</v>
      </c>
      <c r="B245" t="s">
        <v>161</v>
      </c>
      <c r="C245" t="s">
        <v>139</v>
      </c>
      <c r="D245" t="s">
        <v>139</v>
      </c>
      <c r="E245" t="s">
        <v>139</v>
      </c>
      <c r="F245" t="s">
        <v>139</v>
      </c>
      <c r="G245" t="s">
        <v>139</v>
      </c>
      <c r="H245" t="s">
        <v>139</v>
      </c>
      <c r="I245" t="str">
        <f>_xlfn.XLOOKUP(H245,'SO-DIMM-i5'!A:A,'SO-DIMM-i5'!B:B,_xlfn.XLOOKUP(H245,'SO-DIMM-i5'!H:H,'SO-DIMM-i5'!G:G,""))</f>
        <v/>
      </c>
    </row>
    <row r="246" spans="1:11" x14ac:dyDescent="0.25">
      <c r="A246">
        <v>245</v>
      </c>
      <c r="B246" t="s">
        <v>535</v>
      </c>
      <c r="C246">
        <v>2</v>
      </c>
      <c r="D246" t="s">
        <v>139</v>
      </c>
      <c r="E246" t="s">
        <v>536</v>
      </c>
      <c r="F246" t="b">
        <v>1</v>
      </c>
      <c r="G246" t="s">
        <v>509</v>
      </c>
      <c r="H246" t="s">
        <v>82</v>
      </c>
      <c r="I246">
        <f>_xlfn.XLOOKUP(H246,'SO-DIMM-i5'!A:A,'SO-DIMM-i5'!B:B,_xlfn.XLOOKUP(H246,'SO-DIMM-i5'!H:H,'SO-DIMM-i5'!G:G,""))</f>
        <v>101</v>
      </c>
    </row>
    <row r="247" spans="1:11" x14ac:dyDescent="0.25">
      <c r="A247">
        <v>246</v>
      </c>
      <c r="B247" t="s">
        <v>537</v>
      </c>
      <c r="C247">
        <v>2</v>
      </c>
      <c r="D247" t="s">
        <v>139</v>
      </c>
      <c r="E247" t="s">
        <v>538</v>
      </c>
      <c r="F247" t="s">
        <v>139</v>
      </c>
      <c r="G247" t="s">
        <v>509</v>
      </c>
      <c r="H247" t="s">
        <v>80</v>
      </c>
      <c r="I247">
        <f>_xlfn.XLOOKUP(H247,'SO-DIMM-i5'!A:A,'SO-DIMM-i5'!B:B,_xlfn.XLOOKUP(H247,'SO-DIMM-i5'!H:H,'SO-DIMM-i5'!G:G,""))</f>
        <v>99</v>
      </c>
    </row>
    <row r="248" spans="1:11" hidden="1" x14ac:dyDescent="0.25">
      <c r="A248">
        <v>247</v>
      </c>
      <c r="B248" t="s">
        <v>156</v>
      </c>
      <c r="C248" t="s">
        <v>139</v>
      </c>
      <c r="D248" t="s">
        <v>139</v>
      </c>
      <c r="E248" t="s">
        <v>139</v>
      </c>
      <c r="F248" t="s">
        <v>139</v>
      </c>
      <c r="G248" t="s">
        <v>139</v>
      </c>
      <c r="H248" t="s">
        <v>139</v>
      </c>
      <c r="I248" t="str">
        <f>_xlfn.XLOOKUP(H248,'SO-DIMM-i5'!A:A,'SO-DIMM-i5'!B:B,_xlfn.XLOOKUP(H248,'SO-DIMM-i5'!H:H,'SO-DIMM-i5'!G:G,""))</f>
        <v/>
      </c>
    </row>
    <row r="249" spans="1:11" x14ac:dyDescent="0.25">
      <c r="A249">
        <v>248</v>
      </c>
      <c r="B249" t="s">
        <v>539</v>
      </c>
      <c r="C249">
        <v>2</v>
      </c>
      <c r="D249" t="s">
        <v>139</v>
      </c>
      <c r="E249" t="s">
        <v>540</v>
      </c>
      <c r="F249" t="b">
        <v>1</v>
      </c>
      <c r="G249" t="s">
        <v>509</v>
      </c>
      <c r="H249" t="s">
        <v>84</v>
      </c>
      <c r="I249">
        <f>_xlfn.XLOOKUP(H249,'SO-DIMM-i5'!A:A,'SO-DIMM-i5'!B:B,_xlfn.XLOOKUP(H249,'SO-DIMM-i5'!H:H,'SO-DIMM-i5'!G:G,""))</f>
        <v>103</v>
      </c>
    </row>
    <row r="250" spans="1:11" x14ac:dyDescent="0.25">
      <c r="A250">
        <v>249</v>
      </c>
      <c r="B250" t="s">
        <v>541</v>
      </c>
      <c r="C250">
        <v>2</v>
      </c>
      <c r="D250" t="s">
        <v>139</v>
      </c>
      <c r="E250" t="s">
        <v>542</v>
      </c>
      <c r="F250" t="s">
        <v>139</v>
      </c>
      <c r="G250" t="s">
        <v>509</v>
      </c>
      <c r="H250" t="s">
        <v>86</v>
      </c>
      <c r="I250">
        <f>_xlfn.XLOOKUP(H250,'SO-DIMM-i5'!A:A,'SO-DIMM-i5'!B:B,_xlfn.XLOOKUP(H250,'SO-DIMM-i5'!H:H,'SO-DIMM-i5'!G:G,""))</f>
        <v>109</v>
      </c>
    </row>
    <row r="251" spans="1:11" hidden="1" x14ac:dyDescent="0.25">
      <c r="A251">
        <v>250</v>
      </c>
      <c r="B251" t="s">
        <v>510</v>
      </c>
      <c r="C251" t="s">
        <v>139</v>
      </c>
      <c r="D251" t="s">
        <v>139</v>
      </c>
      <c r="E251" t="s">
        <v>139</v>
      </c>
      <c r="F251" t="s">
        <v>139</v>
      </c>
      <c r="G251" t="s">
        <v>139</v>
      </c>
      <c r="H251" t="s">
        <v>139</v>
      </c>
      <c r="I251" t="str">
        <f>_xlfn.XLOOKUP(H251,'SO-DIMM-i5'!A:A,'SO-DIMM-i5'!B:B,_xlfn.XLOOKUP(H251,'SO-DIMM-i5'!H:H,'SO-DIMM-i5'!G:G,""))</f>
        <v/>
      </c>
    </row>
    <row r="252" spans="1:11" x14ac:dyDescent="0.25">
      <c r="A252">
        <v>251</v>
      </c>
      <c r="B252" t="s">
        <v>543</v>
      </c>
      <c r="C252">
        <v>2</v>
      </c>
      <c r="D252" t="s">
        <v>139</v>
      </c>
      <c r="E252" t="s">
        <v>544</v>
      </c>
      <c r="F252" t="b">
        <v>1</v>
      </c>
      <c r="G252" t="s">
        <v>509</v>
      </c>
      <c r="H252" t="s">
        <v>90</v>
      </c>
      <c r="I252">
        <f>_xlfn.XLOOKUP(H252,'SO-DIMM-i5'!A:A,'SO-DIMM-i5'!B:B,_xlfn.XLOOKUP(H252,'SO-DIMM-i5'!H:H,'SO-DIMM-i5'!G:G,""))</f>
        <v>113</v>
      </c>
    </row>
    <row r="253" spans="1:11" x14ac:dyDescent="0.25">
      <c r="A253">
        <v>252</v>
      </c>
      <c r="B253" t="s">
        <v>545</v>
      </c>
      <c r="C253">
        <v>2</v>
      </c>
      <c r="D253" t="s">
        <v>546</v>
      </c>
      <c r="E253" t="s">
        <v>547</v>
      </c>
      <c r="F253" t="s">
        <v>139</v>
      </c>
      <c r="G253" t="s">
        <v>509</v>
      </c>
      <c r="H253" t="s">
        <v>88</v>
      </c>
      <c r="I253">
        <f>_xlfn.XLOOKUP(H253,'SO-DIMM-i5'!A:A,'SO-DIMM-i5'!B:B,_xlfn.XLOOKUP(H253,'SO-DIMM-i5'!H:H,'SO-DIMM-i5'!G:G,""))</f>
        <v>111</v>
      </c>
    </row>
    <row r="254" spans="1:11" hidden="1" x14ac:dyDescent="0.25">
      <c r="A254">
        <v>253</v>
      </c>
      <c r="B254" t="s">
        <v>517</v>
      </c>
      <c r="C254" t="s">
        <v>139</v>
      </c>
      <c r="D254" t="s">
        <v>139</v>
      </c>
      <c r="E254" t="s">
        <v>139</v>
      </c>
      <c r="F254" t="s">
        <v>139</v>
      </c>
      <c r="G254" t="s">
        <v>139</v>
      </c>
      <c r="H254" t="s">
        <v>139</v>
      </c>
      <c r="I254" t="str">
        <f>_xlfn.XLOOKUP(H254,'SO-DIMM-i5'!A:A,'SO-DIMM-i5'!B:B,_xlfn.XLOOKUP(H254,'SO-DIMM-i5'!H:H,'SO-DIMM-i5'!G:G,""))</f>
        <v/>
      </c>
    </row>
    <row r="255" spans="1:11" x14ac:dyDescent="0.25">
      <c r="A255">
        <v>254</v>
      </c>
      <c r="B255" t="s">
        <v>548</v>
      </c>
      <c r="C255">
        <v>2</v>
      </c>
      <c r="D255" t="s">
        <v>139</v>
      </c>
      <c r="E255" t="s">
        <v>549</v>
      </c>
      <c r="F255" t="b">
        <v>1</v>
      </c>
      <c r="G255" t="s">
        <v>509</v>
      </c>
      <c r="H255" t="s">
        <v>92</v>
      </c>
      <c r="I255">
        <f>_xlfn.XLOOKUP(H255,'SO-DIMM-i5'!A:A,'SO-DIMM-i5'!B:B,_xlfn.XLOOKUP(H255,'SO-DIMM-i5'!H:H,'SO-DIMM-i5'!G:G,""))</f>
        <v>115</v>
      </c>
    </row>
    <row r="256" spans="1:11" x14ac:dyDescent="0.25">
      <c r="A256">
        <v>255</v>
      </c>
      <c r="B256" t="s">
        <v>550</v>
      </c>
      <c r="C256">
        <v>2</v>
      </c>
      <c r="D256" t="s">
        <v>139</v>
      </c>
      <c r="E256" t="s">
        <v>551</v>
      </c>
      <c r="F256" t="s">
        <v>139</v>
      </c>
      <c r="G256" t="s">
        <v>552</v>
      </c>
      <c r="H256" t="s">
        <v>65</v>
      </c>
      <c r="I256">
        <f>_xlfn.XLOOKUP(H256,'SO-DIMM-i5'!A:A,'SO-DIMM-i5'!B:B,_xlfn.XLOOKUP(H256,'SO-DIMM-i5'!H:H,'SO-DIMM-i5'!G:G,""))</f>
        <v>80</v>
      </c>
    </row>
    <row r="257" spans="1:9" hidden="1" x14ac:dyDescent="0.25">
      <c r="A257">
        <v>256</v>
      </c>
      <c r="B257" t="s">
        <v>510</v>
      </c>
      <c r="C257" t="s">
        <v>139</v>
      </c>
      <c r="D257" t="s">
        <v>139</v>
      </c>
      <c r="E257" t="s">
        <v>139</v>
      </c>
      <c r="F257" t="s">
        <v>139</v>
      </c>
      <c r="G257" t="s">
        <v>139</v>
      </c>
      <c r="H257" t="s">
        <v>139</v>
      </c>
      <c r="I257" t="str">
        <f>_xlfn.XLOOKUP(H257,'SO-DIMM-i5'!A:A,'SO-DIMM-i5'!B:B,_xlfn.XLOOKUP(H257,'SO-DIMM-i5'!H:H,'SO-DIMM-i5'!G:G,""))</f>
        <v/>
      </c>
    </row>
    <row r="258" spans="1:9" x14ac:dyDescent="0.25">
      <c r="A258">
        <v>257</v>
      </c>
      <c r="B258" t="s">
        <v>553</v>
      </c>
      <c r="C258">
        <v>2</v>
      </c>
      <c r="D258" t="s">
        <v>139</v>
      </c>
      <c r="E258" t="s">
        <v>554</v>
      </c>
      <c r="F258" t="b">
        <v>1</v>
      </c>
      <c r="G258" t="s">
        <v>552</v>
      </c>
      <c r="H258" t="s">
        <v>71</v>
      </c>
      <c r="I258">
        <f>_xlfn.XLOOKUP(H258,'SO-DIMM-i5'!A:A,'SO-DIMM-i5'!B:B,_xlfn.XLOOKUP(H258,'SO-DIMM-i5'!H:H,'SO-DIMM-i5'!G:G,""))</f>
        <v>88</v>
      </c>
    </row>
    <row r="259" spans="1:9" x14ac:dyDescent="0.25">
      <c r="A259">
        <v>258</v>
      </c>
      <c r="B259" t="s">
        <v>555</v>
      </c>
      <c r="C259">
        <v>2</v>
      </c>
      <c r="D259" t="s">
        <v>139</v>
      </c>
      <c r="E259" t="s">
        <v>556</v>
      </c>
      <c r="F259" t="s">
        <v>139</v>
      </c>
      <c r="G259" t="s">
        <v>552</v>
      </c>
      <c r="H259" t="s">
        <v>68</v>
      </c>
      <c r="I259">
        <f>_xlfn.XLOOKUP(H259,'SO-DIMM-i5'!A:A,'SO-DIMM-i5'!B:B,_xlfn.XLOOKUP(H259,'SO-DIMM-i5'!H:H,'SO-DIMM-i5'!G:G,""))</f>
        <v>84</v>
      </c>
    </row>
    <row r="260" spans="1:9" hidden="1" x14ac:dyDescent="0.25">
      <c r="A260">
        <v>259</v>
      </c>
      <c r="B260" t="s">
        <v>517</v>
      </c>
      <c r="C260" t="s">
        <v>139</v>
      </c>
      <c r="D260" t="s">
        <v>139</v>
      </c>
      <c r="E260" t="s">
        <v>139</v>
      </c>
      <c r="F260" t="s">
        <v>139</v>
      </c>
      <c r="G260" t="s">
        <v>139</v>
      </c>
      <c r="H260" t="s">
        <v>139</v>
      </c>
      <c r="I260" t="str">
        <f>_xlfn.XLOOKUP(H260,'SO-DIMM-i5'!A:A,'SO-DIMM-i5'!B:B,_xlfn.XLOOKUP(H260,'SO-DIMM-i5'!H:H,'SO-DIMM-i5'!G:G,""))</f>
        <v/>
      </c>
    </row>
    <row r="261" spans="1:9" x14ac:dyDescent="0.25">
      <c r="A261">
        <v>260</v>
      </c>
      <c r="B261" t="s">
        <v>557</v>
      </c>
      <c r="C261">
        <v>2</v>
      </c>
      <c r="D261" t="s">
        <v>139</v>
      </c>
      <c r="E261" t="s">
        <v>558</v>
      </c>
      <c r="F261" t="b">
        <v>1</v>
      </c>
      <c r="G261" t="s">
        <v>552</v>
      </c>
      <c r="H261" t="s">
        <v>70</v>
      </c>
      <c r="I261">
        <f>_xlfn.XLOOKUP(H261,'SO-DIMM-i5'!A:A,'SO-DIMM-i5'!B:B,_xlfn.XLOOKUP(H261,'SO-DIMM-i5'!H:H,'SO-DIMM-i5'!G:G,""))</f>
        <v>86</v>
      </c>
    </row>
    <row r="262" spans="1:9" x14ac:dyDescent="0.25">
      <c r="A262">
        <v>261</v>
      </c>
      <c r="B262" t="s">
        <v>559</v>
      </c>
      <c r="C262">
        <v>2</v>
      </c>
      <c r="D262" t="s">
        <v>139</v>
      </c>
      <c r="E262" t="s">
        <v>560</v>
      </c>
      <c r="F262" t="s">
        <v>139</v>
      </c>
      <c r="G262" t="s">
        <v>552</v>
      </c>
      <c r="H262" t="s">
        <v>74</v>
      </c>
      <c r="I262">
        <f>_xlfn.XLOOKUP(H262,'SO-DIMM-i5'!A:A,'SO-DIMM-i5'!B:B,_xlfn.XLOOKUP(H262,'SO-DIMM-i5'!H:H,'SO-DIMM-i5'!G:G,""))</f>
        <v>92</v>
      </c>
    </row>
    <row r="263" spans="1:9" hidden="1" x14ac:dyDescent="0.25">
      <c r="A263">
        <v>262</v>
      </c>
      <c r="B263" t="s">
        <v>161</v>
      </c>
      <c r="C263" t="s">
        <v>139</v>
      </c>
      <c r="D263" t="s">
        <v>139</v>
      </c>
      <c r="E263" t="s">
        <v>139</v>
      </c>
      <c r="F263" t="s">
        <v>139</v>
      </c>
      <c r="G263" t="s">
        <v>139</v>
      </c>
      <c r="H263" t="s">
        <v>139</v>
      </c>
      <c r="I263" t="str">
        <f>_xlfn.XLOOKUP(H263,'SO-DIMM-i5'!A:A,'SO-DIMM-i5'!B:B,_xlfn.XLOOKUP(H263,'SO-DIMM-i5'!H:H,'SO-DIMM-i5'!G:G,""))</f>
        <v/>
      </c>
    </row>
    <row r="264" spans="1:9" x14ac:dyDescent="0.25">
      <c r="A264">
        <v>263</v>
      </c>
      <c r="B264" t="s">
        <v>561</v>
      </c>
      <c r="C264">
        <v>2</v>
      </c>
      <c r="D264" t="s">
        <v>139</v>
      </c>
      <c r="E264" t="s">
        <v>562</v>
      </c>
      <c r="F264" t="b">
        <v>1</v>
      </c>
      <c r="G264" t="s">
        <v>563</v>
      </c>
      <c r="H264" t="s">
        <v>73</v>
      </c>
      <c r="I264">
        <f>_xlfn.XLOOKUP(H264,'SO-DIMM-i5'!A:A,'SO-DIMM-i5'!B:B,_xlfn.XLOOKUP(H264,'SO-DIMM-i5'!H:H,'SO-DIMM-i5'!G:G,""))</f>
        <v>90</v>
      </c>
    </row>
    <row r="265" spans="1:9" x14ac:dyDescent="0.25">
      <c r="A265">
        <v>264</v>
      </c>
      <c r="B265" t="s">
        <v>564</v>
      </c>
      <c r="C265">
        <v>2</v>
      </c>
      <c r="D265" t="s">
        <v>139</v>
      </c>
      <c r="E265" t="s">
        <v>565</v>
      </c>
      <c r="F265" t="s">
        <v>139</v>
      </c>
      <c r="G265" t="s">
        <v>552</v>
      </c>
      <c r="H265" t="s">
        <v>78</v>
      </c>
      <c r="I265">
        <f>_xlfn.XLOOKUP(H265,'SO-DIMM-i5'!A:A,'SO-DIMM-i5'!B:B,_xlfn.XLOOKUP(H265,'SO-DIMM-i5'!H:H,'SO-DIMM-i5'!G:G,""))</f>
        <v>96</v>
      </c>
    </row>
    <row r="266" spans="1:9" hidden="1" x14ac:dyDescent="0.25">
      <c r="A266">
        <v>265</v>
      </c>
      <c r="B266" t="s">
        <v>167</v>
      </c>
      <c r="C266" t="s">
        <v>139</v>
      </c>
      <c r="D266" t="s">
        <v>139</v>
      </c>
      <c r="E266" t="s">
        <v>139</v>
      </c>
      <c r="F266" t="s">
        <v>139</v>
      </c>
      <c r="G266" t="s">
        <v>139</v>
      </c>
      <c r="H266" t="s">
        <v>139</v>
      </c>
      <c r="I266" t="str">
        <f>_xlfn.XLOOKUP(H266,'SO-DIMM-i5'!A:A,'SO-DIMM-i5'!B:B,_xlfn.XLOOKUP(H266,'SO-DIMM-i5'!H:H,'SO-DIMM-i5'!G:G,""))</f>
        <v/>
      </c>
    </row>
    <row r="267" spans="1:9" x14ac:dyDescent="0.25">
      <c r="A267">
        <v>266</v>
      </c>
      <c r="B267" t="s">
        <v>566</v>
      </c>
      <c r="C267">
        <v>2</v>
      </c>
      <c r="D267" t="s">
        <v>139</v>
      </c>
      <c r="E267" t="s">
        <v>567</v>
      </c>
      <c r="F267" t="b">
        <v>1</v>
      </c>
      <c r="G267" t="s">
        <v>568</v>
      </c>
      <c r="H267" t="s">
        <v>81</v>
      </c>
      <c r="I267">
        <f>_xlfn.XLOOKUP(H267,'SO-DIMM-i5'!A:A,'SO-DIMM-i5'!B:B,_xlfn.XLOOKUP(H267,'SO-DIMM-i5'!H:H,'SO-DIMM-i5'!G:G,""))</f>
        <v>100</v>
      </c>
    </row>
    <row r="268" spans="1:9" x14ac:dyDescent="0.25">
      <c r="A268">
        <v>267</v>
      </c>
      <c r="B268" t="s">
        <v>569</v>
      </c>
      <c r="C268">
        <v>2</v>
      </c>
      <c r="D268" t="s">
        <v>139</v>
      </c>
      <c r="E268" t="s">
        <v>570</v>
      </c>
      <c r="F268" t="s">
        <v>139</v>
      </c>
      <c r="G268" t="s">
        <v>552</v>
      </c>
      <c r="H268" t="s">
        <v>76</v>
      </c>
      <c r="I268">
        <f>_xlfn.XLOOKUP(H268,'SO-DIMM-i5'!A:A,'SO-DIMM-i5'!B:B,_xlfn.XLOOKUP(H268,'SO-DIMM-i5'!H:H,'SO-DIMM-i5'!G:G,""))</f>
        <v>94</v>
      </c>
    </row>
    <row r="269" spans="1:9" hidden="1" x14ac:dyDescent="0.25">
      <c r="A269">
        <v>268</v>
      </c>
      <c r="B269" t="s">
        <v>161</v>
      </c>
      <c r="C269" t="s">
        <v>139</v>
      </c>
      <c r="D269" t="s">
        <v>139</v>
      </c>
      <c r="E269" t="s">
        <v>139</v>
      </c>
      <c r="F269" t="s">
        <v>139</v>
      </c>
      <c r="G269" t="s">
        <v>139</v>
      </c>
      <c r="H269" t="s">
        <v>139</v>
      </c>
      <c r="I269" t="str">
        <f>_xlfn.XLOOKUP(H269,'SO-DIMM-i5'!A:A,'SO-DIMM-i5'!B:B,_xlfn.XLOOKUP(H269,'SO-DIMM-i5'!H:H,'SO-DIMM-i5'!G:G,""))</f>
        <v/>
      </c>
    </row>
    <row r="270" spans="1:9" x14ac:dyDescent="0.25">
      <c r="A270">
        <v>269</v>
      </c>
      <c r="B270" t="s">
        <v>571</v>
      </c>
      <c r="C270">
        <v>2</v>
      </c>
      <c r="D270" t="s">
        <v>139</v>
      </c>
      <c r="E270" t="s">
        <v>572</v>
      </c>
      <c r="F270" t="b">
        <v>1</v>
      </c>
      <c r="G270" t="s">
        <v>552</v>
      </c>
      <c r="H270" t="s">
        <v>87</v>
      </c>
      <c r="I270">
        <f>_xlfn.XLOOKUP(H270,'SO-DIMM-i5'!A:A,'SO-DIMM-i5'!B:B,_xlfn.XLOOKUP(H270,'SO-DIMM-i5'!H:H,'SO-DIMM-i5'!G:G,""))</f>
        <v>110</v>
      </c>
    </row>
    <row r="271" spans="1:9" x14ac:dyDescent="0.25">
      <c r="A271">
        <v>270</v>
      </c>
      <c r="B271" t="s">
        <v>573</v>
      </c>
      <c r="C271">
        <v>2</v>
      </c>
      <c r="D271" t="s">
        <v>139</v>
      </c>
      <c r="E271" t="s">
        <v>574</v>
      </c>
      <c r="F271" t="s">
        <v>139</v>
      </c>
      <c r="G271" t="s">
        <v>552</v>
      </c>
      <c r="H271" t="s">
        <v>79</v>
      </c>
      <c r="I271">
        <f>_xlfn.XLOOKUP(H271,'SO-DIMM-i5'!A:A,'SO-DIMM-i5'!B:B,_xlfn.XLOOKUP(H271,'SO-DIMM-i5'!H:H,'SO-DIMM-i5'!G:G,""))</f>
        <v>98</v>
      </c>
    </row>
    <row r="272" spans="1:9" hidden="1" x14ac:dyDescent="0.25">
      <c r="A272">
        <v>271</v>
      </c>
      <c r="B272" t="s">
        <v>156</v>
      </c>
      <c r="C272" t="s">
        <v>139</v>
      </c>
      <c r="D272" t="s">
        <v>139</v>
      </c>
      <c r="E272" t="s">
        <v>139</v>
      </c>
      <c r="F272" t="s">
        <v>139</v>
      </c>
      <c r="G272" t="s">
        <v>139</v>
      </c>
      <c r="H272" t="s">
        <v>139</v>
      </c>
      <c r="I272" t="str">
        <f>_xlfn.XLOOKUP(H272,'SO-DIMM-i5'!A:A,'SO-DIMM-i5'!B:B,_xlfn.XLOOKUP(H272,'SO-DIMM-i5'!H:H,'SO-DIMM-i5'!G:G,""))</f>
        <v/>
      </c>
    </row>
    <row r="273" spans="1:9" x14ac:dyDescent="0.25">
      <c r="A273">
        <v>272</v>
      </c>
      <c r="B273" t="s">
        <v>575</v>
      </c>
      <c r="C273">
        <v>2</v>
      </c>
      <c r="D273" t="s">
        <v>139</v>
      </c>
      <c r="E273" t="s">
        <v>576</v>
      </c>
      <c r="F273" t="b">
        <v>1</v>
      </c>
      <c r="G273" t="s">
        <v>552</v>
      </c>
      <c r="H273" t="s">
        <v>89</v>
      </c>
      <c r="I273">
        <f>_xlfn.XLOOKUP(H273,'SO-DIMM-i5'!A:A,'SO-DIMM-i5'!B:B,_xlfn.XLOOKUP(H273,'SO-DIMM-i5'!H:H,'SO-DIMM-i5'!G:G,""))</f>
        <v>112</v>
      </c>
    </row>
    <row r="274" spans="1:9" x14ac:dyDescent="0.25">
      <c r="A274">
        <v>273</v>
      </c>
      <c r="B274" t="s">
        <v>577</v>
      </c>
      <c r="C274">
        <v>2</v>
      </c>
      <c r="D274" t="s">
        <v>139</v>
      </c>
      <c r="E274" t="s">
        <v>578</v>
      </c>
      <c r="F274" t="s">
        <v>139</v>
      </c>
      <c r="G274" t="s">
        <v>552</v>
      </c>
      <c r="H274" t="s">
        <v>83</v>
      </c>
      <c r="I274">
        <f>_xlfn.XLOOKUP(H274,'SO-DIMM-i5'!A:A,'SO-DIMM-i5'!B:B,_xlfn.XLOOKUP(H274,'SO-DIMM-i5'!H:H,'SO-DIMM-i5'!G:G,""))</f>
        <v>102</v>
      </c>
    </row>
    <row r="275" spans="1:9" hidden="1" x14ac:dyDescent="0.25">
      <c r="A275">
        <v>274</v>
      </c>
      <c r="B275" t="s">
        <v>510</v>
      </c>
      <c r="C275" t="s">
        <v>139</v>
      </c>
      <c r="D275" t="s">
        <v>139</v>
      </c>
      <c r="E275" t="s">
        <v>139</v>
      </c>
      <c r="F275" t="s">
        <v>139</v>
      </c>
      <c r="G275" t="s">
        <v>139</v>
      </c>
      <c r="H275" t="s">
        <v>139</v>
      </c>
      <c r="I275" t="str">
        <f>_xlfn.XLOOKUP(H275,'SO-DIMM-i5'!A:A,'SO-DIMM-i5'!B:B,_xlfn.XLOOKUP(H275,'SO-DIMM-i5'!H:H,'SO-DIMM-i5'!G:G,""))</f>
        <v/>
      </c>
    </row>
    <row r="276" spans="1:9" x14ac:dyDescent="0.25">
      <c r="A276">
        <v>275</v>
      </c>
      <c r="B276" t="s">
        <v>579</v>
      </c>
      <c r="C276">
        <v>2</v>
      </c>
      <c r="D276" t="s">
        <v>139</v>
      </c>
      <c r="E276" t="s">
        <v>580</v>
      </c>
      <c r="F276" t="s">
        <v>139</v>
      </c>
      <c r="G276" t="s">
        <v>552</v>
      </c>
      <c r="H276" t="s">
        <v>85</v>
      </c>
      <c r="I276">
        <f>_xlfn.XLOOKUP(H276,'SO-DIMM-i5'!A:A,'SO-DIMM-i5'!B:B,_xlfn.XLOOKUP(H276,'SO-DIMM-i5'!H:H,'SO-DIMM-i5'!G:G,""))</f>
        <v>104</v>
      </c>
    </row>
    <row r="277" spans="1:9" hidden="1" x14ac:dyDescent="0.25">
      <c r="A277">
        <v>276</v>
      </c>
      <c r="B277" t="s">
        <v>517</v>
      </c>
      <c r="C277" t="s">
        <v>139</v>
      </c>
      <c r="D277" t="s">
        <v>139</v>
      </c>
      <c r="E277" t="s">
        <v>139</v>
      </c>
      <c r="F277" t="s">
        <v>139</v>
      </c>
      <c r="G277" t="s">
        <v>139</v>
      </c>
      <c r="H277" t="s">
        <v>139</v>
      </c>
      <c r="I277" t="str">
        <f>_xlfn.XLOOKUP(H277,'SO-DIMM-i5'!A:A,'SO-DIMM-i5'!B:B,_xlfn.XLOOKUP(H277,'SO-DIMM-i5'!H:H,'SO-DIMM-i5'!G:G,""))</f>
        <v/>
      </c>
    </row>
    <row r="278" spans="1:9" x14ac:dyDescent="0.25">
      <c r="A278">
        <v>277</v>
      </c>
      <c r="B278" t="s">
        <v>581</v>
      </c>
      <c r="C278">
        <v>2</v>
      </c>
      <c r="D278" t="s">
        <v>582</v>
      </c>
      <c r="E278" t="s">
        <v>583</v>
      </c>
      <c r="F278" t="b">
        <v>1</v>
      </c>
      <c r="G278" t="s">
        <v>552</v>
      </c>
      <c r="H278" t="s">
        <v>91</v>
      </c>
      <c r="I278">
        <f>_xlfn.XLOOKUP(H278,'SO-DIMM-i5'!A:A,'SO-DIMM-i5'!B:B,_xlfn.XLOOKUP(H278,'SO-DIMM-i5'!H:H,'SO-DIMM-i5'!G:G,""))</f>
        <v>114</v>
      </c>
    </row>
    <row r="279" spans="1:9" x14ac:dyDescent="0.25">
      <c r="A279">
        <v>278</v>
      </c>
      <c r="B279" t="s">
        <v>584</v>
      </c>
      <c r="C279">
        <v>2</v>
      </c>
      <c r="D279" t="s">
        <v>139</v>
      </c>
      <c r="E279" t="s">
        <v>585</v>
      </c>
      <c r="F279" t="b">
        <v>1</v>
      </c>
      <c r="G279" t="s">
        <v>552</v>
      </c>
      <c r="H279" t="s">
        <v>39</v>
      </c>
      <c r="I279">
        <f>_xlfn.XLOOKUP(H279,'SO-DIMM-i5'!A:A,'SO-DIMM-i5'!B:B,_xlfn.XLOOKUP(H279,'SO-DIMM-i5'!H:H,'SO-DIMM-i5'!G:G,""))</f>
        <v>51</v>
      </c>
    </row>
    <row r="280" spans="1:9" hidden="1" x14ac:dyDescent="0.25">
      <c r="A280">
        <v>279</v>
      </c>
      <c r="B280" t="s">
        <v>4</v>
      </c>
      <c r="C280" t="s">
        <v>139</v>
      </c>
      <c r="D280" t="s">
        <v>139</v>
      </c>
      <c r="E280" t="s">
        <v>139</v>
      </c>
      <c r="F280" t="s">
        <v>139</v>
      </c>
      <c r="G280" t="s">
        <v>139</v>
      </c>
      <c r="H280" t="s">
        <v>139</v>
      </c>
      <c r="I280" t="str">
        <f>_xlfn.XLOOKUP(H280,'SO-DIMM-i5'!A:A,'SO-DIMM-i5'!B:B,_xlfn.XLOOKUP(H280,'SO-DIMM-i5'!H:H,'SO-DIMM-i5'!G:G,""))</f>
        <v/>
      </c>
    </row>
    <row r="281" spans="1:9" hidden="1" x14ac:dyDescent="0.25">
      <c r="A281">
        <v>280</v>
      </c>
      <c r="B281" t="s">
        <v>167</v>
      </c>
      <c r="C281" t="s">
        <v>139</v>
      </c>
      <c r="D281" t="s">
        <v>139</v>
      </c>
      <c r="E281" t="s">
        <v>139</v>
      </c>
      <c r="F281" t="s">
        <v>139</v>
      </c>
      <c r="G281" t="s">
        <v>139</v>
      </c>
      <c r="H281" t="s">
        <v>139</v>
      </c>
      <c r="I281" t="str">
        <f>_xlfn.XLOOKUP(H281,'SO-DIMM-i5'!A:A,'SO-DIMM-i5'!B:B,_xlfn.XLOOKUP(H281,'SO-DIMM-i5'!H:H,'SO-DIMM-i5'!G:G,""))</f>
        <v/>
      </c>
    </row>
    <row r="282" spans="1:9" hidden="1" x14ac:dyDescent="0.25">
      <c r="A282">
        <v>281</v>
      </c>
      <c r="B282" t="s">
        <v>161</v>
      </c>
      <c r="C282" t="s">
        <v>139</v>
      </c>
      <c r="D282" t="s">
        <v>139</v>
      </c>
      <c r="E282" t="s">
        <v>139</v>
      </c>
      <c r="F282" t="s">
        <v>139</v>
      </c>
      <c r="G282" t="s">
        <v>139</v>
      </c>
      <c r="H282" t="s">
        <v>139</v>
      </c>
      <c r="I282" t="str">
        <f>_xlfn.XLOOKUP(H282,'SO-DIMM-i5'!A:A,'SO-DIMM-i5'!B:B,_xlfn.XLOOKUP(H282,'SO-DIMM-i5'!H:H,'SO-DIMM-i5'!G:G,""))</f>
        <v/>
      </c>
    </row>
    <row r="283" spans="1:9" hidden="1" x14ac:dyDescent="0.25">
      <c r="A283">
        <v>282</v>
      </c>
      <c r="B283" t="s">
        <v>167</v>
      </c>
      <c r="C283" t="s">
        <v>139</v>
      </c>
      <c r="D283" t="s">
        <v>139</v>
      </c>
      <c r="E283" t="s">
        <v>139</v>
      </c>
      <c r="F283" t="s">
        <v>139</v>
      </c>
      <c r="G283" t="s">
        <v>139</v>
      </c>
      <c r="H283" t="s">
        <v>139</v>
      </c>
      <c r="I283" t="str">
        <f>_xlfn.XLOOKUP(H283,'SO-DIMM-i5'!A:A,'SO-DIMM-i5'!B:B,_xlfn.XLOOKUP(H283,'SO-DIMM-i5'!H:H,'SO-DIMM-i5'!G:G,""))</f>
        <v/>
      </c>
    </row>
    <row r="284" spans="1:9" x14ac:dyDescent="0.25">
      <c r="A284">
        <v>283</v>
      </c>
      <c r="B284" t="s">
        <v>586</v>
      </c>
      <c r="C284">
        <v>1</v>
      </c>
      <c r="D284" t="s">
        <v>139</v>
      </c>
      <c r="E284" t="s">
        <v>587</v>
      </c>
      <c r="F284" t="s">
        <v>139</v>
      </c>
      <c r="G284" t="s">
        <v>139</v>
      </c>
      <c r="H284" t="s">
        <v>94</v>
      </c>
      <c r="I284">
        <f>_xlfn.XLOOKUP(H284,'SO-DIMM-i5'!A:A,'SO-DIMM-i5'!B:B,_xlfn.XLOOKUP(H284,'SO-DIMM-i5'!H:H,'SO-DIMM-i5'!G:G,""))</f>
        <v>117</v>
      </c>
    </row>
    <row r="285" spans="1:9" hidden="1" x14ac:dyDescent="0.25">
      <c r="A285">
        <v>284</v>
      </c>
      <c r="B285" t="s">
        <v>588</v>
      </c>
      <c r="C285" t="s">
        <v>139</v>
      </c>
      <c r="D285" t="s">
        <v>139</v>
      </c>
      <c r="E285" t="s">
        <v>139</v>
      </c>
      <c r="F285" t="s">
        <v>139</v>
      </c>
      <c r="G285" t="s">
        <v>139</v>
      </c>
      <c r="H285" t="s">
        <v>139</v>
      </c>
      <c r="I285" t="str">
        <f>_xlfn.XLOOKUP(H285,'SO-DIMM-i5'!A:A,'SO-DIMM-i5'!B:B,_xlfn.XLOOKUP(H285,'SO-DIMM-i5'!H:H,'SO-DIMM-i5'!G:G,""))</f>
        <v/>
      </c>
    </row>
    <row r="286" spans="1:9" x14ac:dyDescent="0.25">
      <c r="A286">
        <v>285</v>
      </c>
      <c r="B286" t="s">
        <v>589</v>
      </c>
      <c r="C286">
        <v>1</v>
      </c>
      <c r="D286" t="s">
        <v>139</v>
      </c>
      <c r="E286" t="s">
        <v>590</v>
      </c>
      <c r="F286" t="s">
        <v>139</v>
      </c>
      <c r="G286" t="s">
        <v>139</v>
      </c>
      <c r="H286" t="s">
        <v>96</v>
      </c>
      <c r="I286">
        <f>_xlfn.XLOOKUP(H286,'SO-DIMM-i5'!A:A,'SO-DIMM-i5'!B:B,_xlfn.XLOOKUP(H286,'SO-DIMM-i5'!H:H,'SO-DIMM-i5'!G:G,""))</f>
        <v>119</v>
      </c>
    </row>
    <row r="287" spans="1:9" x14ac:dyDescent="0.25">
      <c r="A287">
        <v>286</v>
      </c>
      <c r="B287" t="s">
        <v>591</v>
      </c>
      <c r="C287">
        <v>1</v>
      </c>
      <c r="D287" t="s">
        <v>139</v>
      </c>
      <c r="E287" t="s">
        <v>592</v>
      </c>
      <c r="F287" t="s">
        <v>139</v>
      </c>
      <c r="G287" t="s">
        <v>139</v>
      </c>
      <c r="H287" t="s">
        <v>100</v>
      </c>
      <c r="I287">
        <f>_xlfn.XLOOKUP(H287,'SO-DIMM-i5'!A:A,'SO-DIMM-i5'!B:B,_xlfn.XLOOKUP(H287,'SO-DIMM-i5'!H:H,'SO-DIMM-i5'!G:G,""))</f>
        <v>123</v>
      </c>
    </row>
    <row r="288" spans="1:9" hidden="1" x14ac:dyDescent="0.25">
      <c r="A288">
        <v>287</v>
      </c>
      <c r="B288" t="s">
        <v>593</v>
      </c>
      <c r="C288" t="s">
        <v>139</v>
      </c>
      <c r="D288" t="s">
        <v>139</v>
      </c>
      <c r="E288" t="s">
        <v>139</v>
      </c>
      <c r="F288" t="s">
        <v>139</v>
      </c>
      <c r="G288" t="s">
        <v>139</v>
      </c>
      <c r="H288" t="s">
        <v>139</v>
      </c>
      <c r="I288" t="str">
        <f>_xlfn.XLOOKUP(H288,'SO-DIMM-i5'!A:A,'SO-DIMM-i5'!B:B,_xlfn.XLOOKUP(H288,'SO-DIMM-i5'!H:H,'SO-DIMM-i5'!G:G,""))</f>
        <v/>
      </c>
    </row>
    <row r="289" spans="1:9" x14ac:dyDescent="0.25">
      <c r="A289">
        <v>288</v>
      </c>
      <c r="B289" t="s">
        <v>594</v>
      </c>
      <c r="C289">
        <v>1</v>
      </c>
      <c r="D289" t="s">
        <v>139</v>
      </c>
      <c r="E289" t="s">
        <v>595</v>
      </c>
      <c r="F289" t="s">
        <v>139</v>
      </c>
      <c r="G289" t="s">
        <v>139</v>
      </c>
      <c r="H289" t="s">
        <v>104</v>
      </c>
      <c r="I289">
        <f>_xlfn.XLOOKUP(H289,'SO-DIMM-i5'!A:A,'SO-DIMM-i5'!B:B,_xlfn.XLOOKUP(H289,'SO-DIMM-i5'!H:H,'SO-DIMM-i5'!G:G,""))</f>
        <v>127</v>
      </c>
    </row>
    <row r="290" spans="1:9" x14ac:dyDescent="0.25">
      <c r="A290">
        <v>289</v>
      </c>
      <c r="B290" t="s">
        <v>596</v>
      </c>
      <c r="C290">
        <v>1</v>
      </c>
      <c r="D290" t="s">
        <v>139</v>
      </c>
      <c r="E290" t="s">
        <v>597</v>
      </c>
      <c r="F290" t="s">
        <v>139</v>
      </c>
      <c r="G290" t="s">
        <v>139</v>
      </c>
      <c r="H290" t="s">
        <v>98</v>
      </c>
      <c r="I290">
        <f>_xlfn.XLOOKUP(H290,'SO-DIMM-i5'!A:A,'SO-DIMM-i5'!B:B,_xlfn.XLOOKUP(H290,'SO-DIMM-i5'!H:H,'SO-DIMM-i5'!G:G,""))</f>
        <v>121</v>
      </c>
    </row>
    <row r="291" spans="1:9" hidden="1" x14ac:dyDescent="0.25">
      <c r="A291">
        <v>290</v>
      </c>
      <c r="B291" t="s">
        <v>161</v>
      </c>
      <c r="C291" t="s">
        <v>139</v>
      </c>
      <c r="D291" t="s">
        <v>139</v>
      </c>
      <c r="E291" t="s">
        <v>139</v>
      </c>
      <c r="F291" t="s">
        <v>139</v>
      </c>
      <c r="G291" t="s">
        <v>139</v>
      </c>
      <c r="H291" t="s">
        <v>139</v>
      </c>
      <c r="I291" t="str">
        <f>_xlfn.XLOOKUP(H291,'SO-DIMM-i5'!A:A,'SO-DIMM-i5'!B:B,_xlfn.XLOOKUP(H291,'SO-DIMM-i5'!H:H,'SO-DIMM-i5'!G:G,""))</f>
        <v/>
      </c>
    </row>
    <row r="292" spans="1:9" x14ac:dyDescent="0.25">
      <c r="A292">
        <v>291</v>
      </c>
      <c r="B292" t="s">
        <v>598</v>
      </c>
      <c r="C292">
        <v>1</v>
      </c>
      <c r="D292" t="s">
        <v>139</v>
      </c>
      <c r="E292" t="s">
        <v>599</v>
      </c>
      <c r="F292" t="s">
        <v>139</v>
      </c>
      <c r="G292" t="s">
        <v>139</v>
      </c>
      <c r="H292" t="s">
        <v>102</v>
      </c>
      <c r="I292">
        <f>_xlfn.XLOOKUP(H292,'SO-DIMM-i5'!A:A,'SO-DIMM-i5'!B:B,_xlfn.XLOOKUP(H292,'SO-DIMM-i5'!H:H,'SO-DIMM-i5'!G:G,""))</f>
        <v>125</v>
      </c>
    </row>
    <row r="293" spans="1:9" hidden="1" x14ac:dyDescent="0.25">
      <c r="A293">
        <v>292</v>
      </c>
      <c r="B293" t="s">
        <v>600</v>
      </c>
      <c r="C293">
        <v>1</v>
      </c>
      <c r="D293" t="s">
        <v>139</v>
      </c>
      <c r="E293" t="s">
        <v>601</v>
      </c>
      <c r="F293" t="s">
        <v>139</v>
      </c>
      <c r="G293" t="s">
        <v>139</v>
      </c>
      <c r="H293" t="s">
        <v>602</v>
      </c>
      <c r="I293" t="str">
        <f>_xlfn.XLOOKUP(H293,'SO-DIMM-i5'!A:A,'SO-DIMM-i5'!B:B,_xlfn.XLOOKUP(H293,'SO-DIMM-i5'!H:H,'SO-DIMM-i5'!G:G,""))</f>
        <v/>
      </c>
    </row>
    <row r="294" spans="1:9" hidden="1" x14ac:dyDescent="0.25">
      <c r="A294">
        <v>293</v>
      </c>
      <c r="B294" t="s">
        <v>167</v>
      </c>
      <c r="C294" t="s">
        <v>139</v>
      </c>
      <c r="D294" t="s">
        <v>139</v>
      </c>
      <c r="E294" t="s">
        <v>139</v>
      </c>
      <c r="F294" t="s">
        <v>139</v>
      </c>
      <c r="G294" t="s">
        <v>139</v>
      </c>
      <c r="H294" t="s">
        <v>139</v>
      </c>
      <c r="I294" t="str">
        <f>_xlfn.XLOOKUP(H294,'SO-DIMM-i5'!A:A,'SO-DIMM-i5'!B:B,_xlfn.XLOOKUP(H294,'SO-DIMM-i5'!H:H,'SO-DIMM-i5'!G:G,""))</f>
        <v/>
      </c>
    </row>
    <row r="295" spans="1:9" hidden="1" x14ac:dyDescent="0.25">
      <c r="A295">
        <v>294</v>
      </c>
      <c r="B295" t="s">
        <v>603</v>
      </c>
      <c r="C295">
        <v>1</v>
      </c>
      <c r="D295" t="s">
        <v>139</v>
      </c>
      <c r="E295" t="s">
        <v>604</v>
      </c>
      <c r="F295" t="s">
        <v>139</v>
      </c>
      <c r="G295" t="s">
        <v>139</v>
      </c>
      <c r="H295" t="s">
        <v>605</v>
      </c>
      <c r="I295" t="str">
        <f>_xlfn.XLOOKUP(H295,'SO-DIMM-i5'!A:A,'SO-DIMM-i5'!B:B,_xlfn.XLOOKUP(H295,'SO-DIMM-i5'!H:H,'SO-DIMM-i5'!G:G,""))</f>
        <v/>
      </c>
    </row>
    <row r="296" spans="1:9" x14ac:dyDescent="0.25">
      <c r="A296">
        <v>295</v>
      </c>
      <c r="B296" t="s">
        <v>606</v>
      </c>
      <c r="C296">
        <v>1</v>
      </c>
      <c r="D296" t="s">
        <v>139</v>
      </c>
      <c r="E296" t="s">
        <v>607</v>
      </c>
      <c r="F296" t="s">
        <v>139</v>
      </c>
      <c r="G296" t="s">
        <v>139</v>
      </c>
      <c r="H296" t="s">
        <v>95</v>
      </c>
      <c r="I296">
        <f>_xlfn.XLOOKUP(H296,'SO-DIMM-i5'!A:A,'SO-DIMM-i5'!B:B,_xlfn.XLOOKUP(H296,'SO-DIMM-i5'!H:H,'SO-DIMM-i5'!G:G,""))</f>
        <v>118</v>
      </c>
    </row>
    <row r="297" spans="1:9" hidden="1" x14ac:dyDescent="0.25">
      <c r="A297">
        <v>296</v>
      </c>
      <c r="B297" t="s">
        <v>161</v>
      </c>
      <c r="C297" t="s">
        <v>139</v>
      </c>
      <c r="D297" t="s">
        <v>139</v>
      </c>
      <c r="E297" t="s">
        <v>139</v>
      </c>
      <c r="F297" t="s">
        <v>139</v>
      </c>
      <c r="G297" t="s">
        <v>139</v>
      </c>
      <c r="H297" t="s">
        <v>139</v>
      </c>
      <c r="I297" t="str">
        <f>_xlfn.XLOOKUP(H297,'SO-DIMM-i5'!A:A,'SO-DIMM-i5'!B:B,_xlfn.XLOOKUP(H297,'SO-DIMM-i5'!H:H,'SO-DIMM-i5'!G:G,""))</f>
        <v/>
      </c>
    </row>
    <row r="298" spans="1:9" hidden="1" x14ac:dyDescent="0.25">
      <c r="A298">
        <v>297</v>
      </c>
      <c r="B298" t="s">
        <v>608</v>
      </c>
      <c r="C298">
        <v>1</v>
      </c>
      <c r="D298" t="s">
        <v>139</v>
      </c>
      <c r="E298" t="s">
        <v>609</v>
      </c>
      <c r="F298" t="s">
        <v>139</v>
      </c>
      <c r="G298" t="s">
        <v>139</v>
      </c>
      <c r="H298" t="s">
        <v>610</v>
      </c>
      <c r="I298" t="str">
        <f>_xlfn.XLOOKUP(H298,'SO-DIMM-i5'!A:A,'SO-DIMM-i5'!B:B,_xlfn.XLOOKUP(H298,'SO-DIMM-i5'!H:H,'SO-DIMM-i5'!G:G,""))</f>
        <v/>
      </c>
    </row>
    <row r="299" spans="1:9" hidden="1" x14ac:dyDescent="0.25">
      <c r="A299">
        <v>298</v>
      </c>
      <c r="B299" t="s">
        <v>611</v>
      </c>
      <c r="C299">
        <v>1</v>
      </c>
      <c r="D299" t="s">
        <v>139</v>
      </c>
      <c r="E299" t="s">
        <v>612</v>
      </c>
      <c r="F299" t="s">
        <v>139</v>
      </c>
      <c r="G299" t="s">
        <v>139</v>
      </c>
      <c r="H299" t="s">
        <v>613</v>
      </c>
      <c r="I299" t="str">
        <f>_xlfn.XLOOKUP(H299,'SO-DIMM-i5'!A:A,'SO-DIMM-i5'!B:B,_xlfn.XLOOKUP(H299,'SO-DIMM-i5'!H:H,'SO-DIMM-i5'!G:G,""))</f>
        <v/>
      </c>
    </row>
    <row r="300" spans="1:9" hidden="1" x14ac:dyDescent="0.25">
      <c r="A300">
        <v>299</v>
      </c>
      <c r="B300" t="s">
        <v>156</v>
      </c>
      <c r="C300" t="s">
        <v>139</v>
      </c>
      <c r="D300" t="s">
        <v>139</v>
      </c>
      <c r="E300" t="s">
        <v>139</v>
      </c>
      <c r="F300" t="s">
        <v>139</v>
      </c>
      <c r="G300" t="s">
        <v>139</v>
      </c>
      <c r="H300" t="s">
        <v>139</v>
      </c>
      <c r="I300" t="str">
        <f>_xlfn.XLOOKUP(H300,'SO-DIMM-i5'!A:A,'SO-DIMM-i5'!B:B,_xlfn.XLOOKUP(H300,'SO-DIMM-i5'!H:H,'SO-DIMM-i5'!G:G,""))</f>
        <v/>
      </c>
    </row>
    <row r="301" spans="1:9" hidden="1" x14ac:dyDescent="0.25">
      <c r="A301">
        <v>300</v>
      </c>
      <c r="B301" t="s">
        <v>614</v>
      </c>
      <c r="C301">
        <v>1</v>
      </c>
      <c r="D301" t="s">
        <v>139</v>
      </c>
      <c r="E301" t="s">
        <v>615</v>
      </c>
      <c r="F301" t="s">
        <v>139</v>
      </c>
      <c r="G301" t="s">
        <v>139</v>
      </c>
      <c r="H301" t="s">
        <v>616</v>
      </c>
      <c r="I301" t="str">
        <f>_xlfn.XLOOKUP(H301,'SO-DIMM-i5'!A:A,'SO-DIMM-i5'!B:B,_xlfn.XLOOKUP(H301,'SO-DIMM-i5'!H:H,'SO-DIMM-i5'!G:G,""))</f>
        <v/>
      </c>
    </row>
    <row r="302" spans="1:9" hidden="1" x14ac:dyDescent="0.25">
      <c r="A302">
        <v>301</v>
      </c>
      <c r="B302" t="s">
        <v>617</v>
      </c>
      <c r="C302">
        <v>1</v>
      </c>
      <c r="D302" t="s">
        <v>139</v>
      </c>
      <c r="E302" t="s">
        <v>618</v>
      </c>
      <c r="F302" t="s">
        <v>139</v>
      </c>
      <c r="G302" t="s">
        <v>139</v>
      </c>
      <c r="H302" t="s">
        <v>619</v>
      </c>
      <c r="I302" t="str">
        <f>_xlfn.XLOOKUP(H302,'SO-DIMM-i5'!A:A,'SO-DIMM-i5'!B:B,_xlfn.XLOOKUP(H302,'SO-DIMM-i5'!H:H,'SO-DIMM-i5'!G:G,""))</f>
        <v/>
      </c>
    </row>
    <row r="303" spans="1:9" hidden="1" x14ac:dyDescent="0.25">
      <c r="A303">
        <v>302</v>
      </c>
      <c r="B303" t="s">
        <v>588</v>
      </c>
      <c r="C303" t="s">
        <v>139</v>
      </c>
      <c r="D303" t="s">
        <v>139</v>
      </c>
      <c r="E303" t="s">
        <v>139</v>
      </c>
      <c r="F303" t="s">
        <v>139</v>
      </c>
      <c r="G303" t="s">
        <v>139</v>
      </c>
      <c r="H303" t="s">
        <v>139</v>
      </c>
      <c r="I303" t="str">
        <f>_xlfn.XLOOKUP(H303,'SO-DIMM-i5'!A:A,'SO-DIMM-i5'!B:B,_xlfn.XLOOKUP(H303,'SO-DIMM-i5'!H:H,'SO-DIMM-i5'!G:G,""))</f>
        <v/>
      </c>
    </row>
    <row r="304" spans="1:9" hidden="1" x14ac:dyDescent="0.25">
      <c r="A304">
        <v>303</v>
      </c>
      <c r="B304" t="s">
        <v>620</v>
      </c>
      <c r="C304">
        <v>1</v>
      </c>
      <c r="D304" t="s">
        <v>139</v>
      </c>
      <c r="E304" t="s">
        <v>621</v>
      </c>
      <c r="F304" t="s">
        <v>139</v>
      </c>
      <c r="G304" t="s">
        <v>139</v>
      </c>
      <c r="H304" t="s">
        <v>622</v>
      </c>
      <c r="I304" t="str">
        <f>_xlfn.XLOOKUP(H304,'SO-DIMM-i5'!A:A,'SO-DIMM-i5'!B:B,_xlfn.XLOOKUP(H304,'SO-DIMM-i5'!H:H,'SO-DIMM-i5'!G:G,""))</f>
        <v/>
      </c>
    </row>
    <row r="305" spans="1:9" hidden="1" x14ac:dyDescent="0.25">
      <c r="A305">
        <v>304</v>
      </c>
      <c r="B305" t="s">
        <v>623</v>
      </c>
      <c r="C305">
        <v>1</v>
      </c>
      <c r="D305" t="s">
        <v>139</v>
      </c>
      <c r="E305" t="s">
        <v>624</v>
      </c>
      <c r="F305" t="s">
        <v>139</v>
      </c>
      <c r="G305" t="s">
        <v>139</v>
      </c>
      <c r="H305" t="s">
        <v>625</v>
      </c>
      <c r="I305" t="str">
        <f>_xlfn.XLOOKUP(H305,'SO-DIMM-i5'!A:A,'SO-DIMM-i5'!B:B,_xlfn.XLOOKUP(H305,'SO-DIMM-i5'!H:H,'SO-DIMM-i5'!G:G,""))</f>
        <v/>
      </c>
    </row>
    <row r="306" spans="1:9" hidden="1" x14ac:dyDescent="0.25">
      <c r="A306">
        <v>305</v>
      </c>
      <c r="B306" t="s">
        <v>593</v>
      </c>
      <c r="C306" t="s">
        <v>139</v>
      </c>
      <c r="D306" t="s">
        <v>139</v>
      </c>
      <c r="E306" t="s">
        <v>139</v>
      </c>
      <c r="F306" t="s">
        <v>139</v>
      </c>
      <c r="G306" t="s">
        <v>139</v>
      </c>
      <c r="H306" t="s">
        <v>139</v>
      </c>
      <c r="I306" t="str">
        <f>_xlfn.XLOOKUP(H306,'SO-DIMM-i5'!A:A,'SO-DIMM-i5'!B:B,_xlfn.XLOOKUP(H306,'SO-DIMM-i5'!H:H,'SO-DIMM-i5'!G:G,""))</f>
        <v/>
      </c>
    </row>
    <row r="307" spans="1:9" hidden="1" x14ac:dyDescent="0.25">
      <c r="A307">
        <v>306</v>
      </c>
      <c r="B307" t="s">
        <v>626</v>
      </c>
      <c r="C307">
        <v>1</v>
      </c>
      <c r="D307" t="s">
        <v>139</v>
      </c>
      <c r="E307" t="s">
        <v>627</v>
      </c>
      <c r="F307" t="s">
        <v>139</v>
      </c>
      <c r="G307" t="s">
        <v>139</v>
      </c>
      <c r="H307" t="s">
        <v>628</v>
      </c>
      <c r="I307" t="str">
        <f>_xlfn.XLOOKUP(H307,'SO-DIMM-i5'!A:A,'SO-DIMM-i5'!B:B,_xlfn.XLOOKUP(H307,'SO-DIMM-i5'!H:H,'SO-DIMM-i5'!G:G,""))</f>
        <v/>
      </c>
    </row>
    <row r="308" spans="1:9" hidden="1" x14ac:dyDescent="0.25">
      <c r="A308">
        <v>307</v>
      </c>
      <c r="B308" t="s">
        <v>629</v>
      </c>
      <c r="C308">
        <v>1</v>
      </c>
      <c r="D308" t="s">
        <v>139</v>
      </c>
      <c r="E308" t="s">
        <v>630</v>
      </c>
      <c r="F308" t="s">
        <v>139</v>
      </c>
      <c r="G308" t="s">
        <v>139</v>
      </c>
      <c r="H308" t="s">
        <v>631</v>
      </c>
      <c r="I308" t="str">
        <f>_xlfn.XLOOKUP(H308,'SO-DIMM-i5'!A:A,'SO-DIMM-i5'!B:B,_xlfn.XLOOKUP(H308,'SO-DIMM-i5'!H:H,'SO-DIMM-i5'!G:G,""))</f>
        <v/>
      </c>
    </row>
    <row r="309" spans="1:9" hidden="1" x14ac:dyDescent="0.25">
      <c r="A309">
        <v>308</v>
      </c>
      <c r="B309" t="s">
        <v>588</v>
      </c>
      <c r="C309" t="s">
        <v>139</v>
      </c>
      <c r="D309" t="s">
        <v>139</v>
      </c>
      <c r="E309" t="s">
        <v>139</v>
      </c>
      <c r="F309" t="s">
        <v>139</v>
      </c>
      <c r="G309" t="s">
        <v>139</v>
      </c>
      <c r="H309" t="s">
        <v>139</v>
      </c>
      <c r="I309" t="str">
        <f>_xlfn.XLOOKUP(H309,'SO-DIMM-i5'!A:A,'SO-DIMM-i5'!B:B,_xlfn.XLOOKUP(H309,'SO-DIMM-i5'!H:H,'SO-DIMM-i5'!G:G,""))</f>
        <v/>
      </c>
    </row>
    <row r="310" spans="1:9" hidden="1" x14ac:dyDescent="0.25">
      <c r="A310">
        <v>309</v>
      </c>
      <c r="B310" t="s">
        <v>632</v>
      </c>
      <c r="C310">
        <v>1</v>
      </c>
      <c r="D310" t="s">
        <v>139</v>
      </c>
      <c r="E310" t="s">
        <v>633</v>
      </c>
      <c r="F310" t="s">
        <v>139</v>
      </c>
      <c r="G310" t="s">
        <v>139</v>
      </c>
      <c r="H310" t="s">
        <v>634</v>
      </c>
      <c r="I310" t="str">
        <f>_xlfn.XLOOKUP(H310,'SO-DIMM-i5'!A:A,'SO-DIMM-i5'!B:B,_xlfn.XLOOKUP(H310,'SO-DIMM-i5'!H:H,'SO-DIMM-i5'!G:G,""))</f>
        <v/>
      </c>
    </row>
    <row r="311" spans="1:9" hidden="1" x14ac:dyDescent="0.25">
      <c r="A311">
        <v>310</v>
      </c>
      <c r="B311" t="s">
        <v>635</v>
      </c>
      <c r="C311">
        <v>1</v>
      </c>
      <c r="D311" t="s">
        <v>139</v>
      </c>
      <c r="E311" t="s">
        <v>636</v>
      </c>
      <c r="F311" t="s">
        <v>139</v>
      </c>
      <c r="G311" t="s">
        <v>139</v>
      </c>
      <c r="H311" t="s">
        <v>637</v>
      </c>
      <c r="I311" t="str">
        <f>_xlfn.XLOOKUP(H311,'SO-DIMM-i5'!A:A,'SO-DIMM-i5'!B:B,_xlfn.XLOOKUP(H311,'SO-DIMM-i5'!H:H,'SO-DIMM-i5'!G:G,""))</f>
        <v/>
      </c>
    </row>
    <row r="312" spans="1:9" hidden="1" x14ac:dyDescent="0.25">
      <c r="A312">
        <v>311</v>
      </c>
      <c r="B312" t="s">
        <v>593</v>
      </c>
      <c r="C312" t="s">
        <v>139</v>
      </c>
      <c r="D312" t="s">
        <v>139</v>
      </c>
      <c r="E312" t="s">
        <v>139</v>
      </c>
      <c r="F312" t="s">
        <v>139</v>
      </c>
      <c r="G312" t="s">
        <v>139</v>
      </c>
      <c r="H312" t="s">
        <v>139</v>
      </c>
      <c r="I312" t="str">
        <f>_xlfn.XLOOKUP(H312,'SO-DIMM-i5'!A:A,'SO-DIMM-i5'!B:B,_xlfn.XLOOKUP(H312,'SO-DIMM-i5'!H:H,'SO-DIMM-i5'!G:G,""))</f>
        <v/>
      </c>
    </row>
    <row r="313" spans="1:9" hidden="1" x14ac:dyDescent="0.25">
      <c r="A313">
        <v>312</v>
      </c>
      <c r="B313" t="s">
        <v>638</v>
      </c>
      <c r="C313">
        <v>1</v>
      </c>
      <c r="D313" t="s">
        <v>139</v>
      </c>
      <c r="E313" t="s">
        <v>639</v>
      </c>
      <c r="F313" t="s">
        <v>139</v>
      </c>
      <c r="G313" t="s">
        <v>139</v>
      </c>
      <c r="H313" t="s">
        <v>640</v>
      </c>
      <c r="I313" t="str">
        <f>_xlfn.XLOOKUP(H313,'SO-DIMM-i5'!A:A,'SO-DIMM-i5'!B:B,_xlfn.XLOOKUP(H313,'SO-DIMM-i5'!H:H,'SO-DIMM-i5'!G:G,""))</f>
        <v/>
      </c>
    </row>
    <row r="314" spans="1:9" hidden="1" x14ac:dyDescent="0.25">
      <c r="A314">
        <v>313</v>
      </c>
      <c r="B314" t="s">
        <v>641</v>
      </c>
      <c r="C314">
        <v>1</v>
      </c>
      <c r="D314" t="s">
        <v>139</v>
      </c>
      <c r="E314" t="s">
        <v>642</v>
      </c>
      <c r="F314" t="s">
        <v>139</v>
      </c>
      <c r="G314" t="s">
        <v>139</v>
      </c>
      <c r="H314" t="s">
        <v>643</v>
      </c>
      <c r="I314" t="str">
        <f>_xlfn.XLOOKUP(H314,'SO-DIMM-i5'!A:A,'SO-DIMM-i5'!B:B,_xlfn.XLOOKUP(H314,'SO-DIMM-i5'!H:H,'SO-DIMM-i5'!G:G,""))</f>
        <v/>
      </c>
    </row>
    <row r="315" spans="1:9" hidden="1" x14ac:dyDescent="0.25">
      <c r="A315">
        <v>314</v>
      </c>
      <c r="B315" t="s">
        <v>161</v>
      </c>
      <c r="C315" t="s">
        <v>139</v>
      </c>
      <c r="D315" t="s">
        <v>139</v>
      </c>
      <c r="E315" t="s">
        <v>139</v>
      </c>
      <c r="F315" t="s">
        <v>139</v>
      </c>
      <c r="G315" t="s">
        <v>139</v>
      </c>
      <c r="H315" t="s">
        <v>139</v>
      </c>
      <c r="I315" t="str">
        <f>_xlfn.XLOOKUP(H315,'SO-DIMM-i5'!A:A,'SO-DIMM-i5'!B:B,_xlfn.XLOOKUP(H315,'SO-DIMM-i5'!H:H,'SO-DIMM-i5'!G:G,""))</f>
        <v/>
      </c>
    </row>
    <row r="316" spans="1:9" hidden="1" x14ac:dyDescent="0.25">
      <c r="A316">
        <v>315</v>
      </c>
      <c r="B316" t="s">
        <v>644</v>
      </c>
      <c r="C316">
        <v>1</v>
      </c>
      <c r="D316" t="s">
        <v>139</v>
      </c>
      <c r="E316" t="s">
        <v>645</v>
      </c>
      <c r="F316" t="s">
        <v>139</v>
      </c>
      <c r="G316" t="s">
        <v>139</v>
      </c>
      <c r="H316" t="s">
        <v>646</v>
      </c>
      <c r="I316" t="str">
        <f>_xlfn.XLOOKUP(H316,'SO-DIMM-i5'!A:A,'SO-DIMM-i5'!B:B,_xlfn.XLOOKUP(H316,'SO-DIMM-i5'!H:H,'SO-DIMM-i5'!G:G,""))</f>
        <v/>
      </c>
    </row>
    <row r="317" spans="1:9" hidden="1" x14ac:dyDescent="0.25">
      <c r="A317">
        <v>316</v>
      </c>
      <c r="B317" t="s">
        <v>647</v>
      </c>
      <c r="C317">
        <v>1</v>
      </c>
      <c r="D317" t="s">
        <v>139</v>
      </c>
      <c r="E317" t="s">
        <v>648</v>
      </c>
      <c r="F317" t="s">
        <v>139</v>
      </c>
      <c r="G317" t="s">
        <v>139</v>
      </c>
      <c r="H317" t="s">
        <v>649</v>
      </c>
      <c r="I317" t="str">
        <f>_xlfn.XLOOKUP(H317,'SO-DIMM-i5'!A:A,'SO-DIMM-i5'!B:B,_xlfn.XLOOKUP(H317,'SO-DIMM-i5'!H:H,'SO-DIMM-i5'!G:G,""))</f>
        <v/>
      </c>
    </row>
    <row r="318" spans="1:9" hidden="1" x14ac:dyDescent="0.25">
      <c r="A318">
        <v>317</v>
      </c>
      <c r="B318" t="s">
        <v>167</v>
      </c>
      <c r="C318" t="s">
        <v>139</v>
      </c>
      <c r="D318" t="s">
        <v>139</v>
      </c>
      <c r="E318" t="s">
        <v>139</v>
      </c>
      <c r="F318" t="s">
        <v>139</v>
      </c>
      <c r="G318" t="s">
        <v>139</v>
      </c>
      <c r="H318" t="s">
        <v>139</v>
      </c>
      <c r="I318" t="str">
        <f>_xlfn.XLOOKUP(H318,'SO-DIMM-i5'!A:A,'SO-DIMM-i5'!B:B,_xlfn.XLOOKUP(H318,'SO-DIMM-i5'!H:H,'SO-DIMM-i5'!G:G,""))</f>
        <v/>
      </c>
    </row>
    <row r="319" spans="1:9" hidden="1" x14ac:dyDescent="0.25">
      <c r="A319">
        <v>318</v>
      </c>
      <c r="B319" t="s">
        <v>650</v>
      </c>
      <c r="C319">
        <v>1</v>
      </c>
      <c r="D319" t="s">
        <v>139</v>
      </c>
      <c r="E319" t="s">
        <v>651</v>
      </c>
      <c r="F319" t="s">
        <v>139</v>
      </c>
      <c r="G319" t="s">
        <v>139</v>
      </c>
      <c r="H319" t="s">
        <v>652</v>
      </c>
      <c r="I319" t="str">
        <f>_xlfn.XLOOKUP(H319,'SO-DIMM-i5'!A:A,'SO-DIMM-i5'!B:B,_xlfn.XLOOKUP(H319,'SO-DIMM-i5'!H:H,'SO-DIMM-i5'!G:G,""))</f>
        <v/>
      </c>
    </row>
    <row r="320" spans="1:9" hidden="1" x14ac:dyDescent="0.25">
      <c r="A320">
        <v>319</v>
      </c>
      <c r="B320" t="s">
        <v>653</v>
      </c>
      <c r="C320">
        <v>1</v>
      </c>
      <c r="D320" t="s">
        <v>139</v>
      </c>
      <c r="E320" t="s">
        <v>654</v>
      </c>
      <c r="F320" t="s">
        <v>139</v>
      </c>
      <c r="G320" t="s">
        <v>139</v>
      </c>
      <c r="H320" t="s">
        <v>655</v>
      </c>
      <c r="I320" t="str">
        <f>_xlfn.XLOOKUP(H320,'SO-DIMM-i5'!A:A,'SO-DIMM-i5'!B:B,_xlfn.XLOOKUP(H320,'SO-DIMM-i5'!H:H,'SO-DIMM-i5'!G:G,""))</f>
        <v/>
      </c>
    </row>
    <row r="321" spans="1:9" hidden="1" x14ac:dyDescent="0.25">
      <c r="A321">
        <v>320</v>
      </c>
      <c r="B321" t="s">
        <v>161</v>
      </c>
      <c r="C321" t="s">
        <v>139</v>
      </c>
      <c r="D321" t="s">
        <v>139</v>
      </c>
      <c r="E321" t="s">
        <v>139</v>
      </c>
      <c r="F321" t="s">
        <v>139</v>
      </c>
      <c r="G321" t="s">
        <v>139</v>
      </c>
      <c r="H321" t="s">
        <v>139</v>
      </c>
      <c r="I321" t="str">
        <f>_xlfn.XLOOKUP(H321,'SO-DIMM-i5'!A:A,'SO-DIMM-i5'!B:B,_xlfn.XLOOKUP(H321,'SO-DIMM-i5'!H:H,'SO-DIMM-i5'!G:G,""))</f>
        <v/>
      </c>
    </row>
    <row r="322" spans="1:9" hidden="1" x14ac:dyDescent="0.25">
      <c r="A322">
        <v>321</v>
      </c>
      <c r="B322" t="s">
        <v>656</v>
      </c>
      <c r="C322">
        <v>1</v>
      </c>
      <c r="D322" t="s">
        <v>657</v>
      </c>
      <c r="E322" t="s">
        <v>658</v>
      </c>
      <c r="F322" t="s">
        <v>139</v>
      </c>
      <c r="G322" t="s">
        <v>139</v>
      </c>
      <c r="H322" t="s">
        <v>659</v>
      </c>
      <c r="I322" t="str">
        <f>_xlfn.XLOOKUP(H322,'SO-DIMM-i5'!A:A,'SO-DIMM-i5'!B:B,_xlfn.XLOOKUP(H322,'SO-DIMM-i5'!H:H,'SO-DIMM-i5'!G:G,""))</f>
        <v/>
      </c>
    </row>
    <row r="323" spans="1:9" hidden="1" x14ac:dyDescent="0.25">
      <c r="A323">
        <v>322</v>
      </c>
      <c r="B323" t="s">
        <v>660</v>
      </c>
      <c r="C323">
        <v>1</v>
      </c>
      <c r="D323" t="s">
        <v>139</v>
      </c>
      <c r="E323" t="s">
        <v>661</v>
      </c>
      <c r="F323" t="s">
        <v>139</v>
      </c>
      <c r="G323" t="s">
        <v>139</v>
      </c>
      <c r="H323" t="s">
        <v>662</v>
      </c>
      <c r="I323" t="str">
        <f>_xlfn.XLOOKUP(H323,'SO-DIMM-i5'!A:A,'SO-DIMM-i5'!B:B,_xlfn.XLOOKUP(H323,'SO-DIMM-i5'!H:H,'SO-DIMM-i5'!G:G,""))</f>
        <v/>
      </c>
    </row>
    <row r="324" spans="1:9" hidden="1" x14ac:dyDescent="0.25">
      <c r="A324">
        <v>323</v>
      </c>
      <c r="B324" t="s">
        <v>156</v>
      </c>
      <c r="C324" t="s">
        <v>139</v>
      </c>
      <c r="D324" t="s">
        <v>139</v>
      </c>
      <c r="E324" t="s">
        <v>139</v>
      </c>
      <c r="F324" t="s">
        <v>139</v>
      </c>
      <c r="G324" t="s">
        <v>139</v>
      </c>
      <c r="H324" t="s">
        <v>139</v>
      </c>
      <c r="I324" t="str">
        <f>_xlfn.XLOOKUP(H324,'SO-DIMM-i5'!A:A,'SO-DIMM-i5'!B:B,_xlfn.XLOOKUP(H324,'SO-DIMM-i5'!H:H,'SO-DIMM-i5'!G:G,""))</f>
        <v/>
      </c>
    </row>
    <row r="325" spans="1:9" hidden="1" x14ac:dyDescent="0.25">
      <c r="A325">
        <v>324</v>
      </c>
      <c r="B325" t="s">
        <v>663</v>
      </c>
      <c r="C325">
        <v>1</v>
      </c>
      <c r="D325" t="s">
        <v>664</v>
      </c>
      <c r="E325" t="s">
        <v>665</v>
      </c>
      <c r="F325" t="s">
        <v>139</v>
      </c>
      <c r="G325" t="s">
        <v>139</v>
      </c>
      <c r="H325" t="s">
        <v>666</v>
      </c>
      <c r="I325" t="str">
        <f>_xlfn.XLOOKUP(H325,'SO-DIMM-i5'!A:A,'SO-DIMM-i5'!B:B,_xlfn.XLOOKUP(H325,'SO-DIMM-i5'!H:H,'SO-DIMM-i5'!G:G,""))</f>
        <v/>
      </c>
    </row>
    <row r="326" spans="1:9" hidden="1" x14ac:dyDescent="0.25">
      <c r="A326">
        <v>325</v>
      </c>
      <c r="B326" t="s">
        <v>667</v>
      </c>
      <c r="C326">
        <v>1</v>
      </c>
      <c r="D326" t="s">
        <v>668</v>
      </c>
      <c r="E326" t="s">
        <v>669</v>
      </c>
      <c r="F326" t="s">
        <v>139</v>
      </c>
      <c r="G326" t="s">
        <v>139</v>
      </c>
      <c r="H326" t="s">
        <v>670</v>
      </c>
      <c r="I326" t="str">
        <f>_xlfn.XLOOKUP(H326,'SO-DIMM-i5'!A:A,'SO-DIMM-i5'!B:B,_xlfn.XLOOKUP(H326,'SO-DIMM-i5'!H:H,'SO-DIMM-i5'!G:G,""))</f>
        <v/>
      </c>
    </row>
    <row r="327" spans="1:9" hidden="1" x14ac:dyDescent="0.25">
      <c r="A327">
        <v>326</v>
      </c>
      <c r="B327" t="s">
        <v>588</v>
      </c>
      <c r="C327" t="s">
        <v>139</v>
      </c>
      <c r="D327" t="s">
        <v>139</v>
      </c>
      <c r="E327" t="s">
        <v>139</v>
      </c>
      <c r="F327" t="s">
        <v>139</v>
      </c>
      <c r="G327" t="s">
        <v>139</v>
      </c>
      <c r="H327" t="s">
        <v>139</v>
      </c>
      <c r="I327" t="str">
        <f>_xlfn.XLOOKUP(H327,'SO-DIMM-i5'!A:A,'SO-DIMM-i5'!B:B,_xlfn.XLOOKUP(H327,'SO-DIMM-i5'!H:H,'SO-DIMM-i5'!G:G,""))</f>
        <v/>
      </c>
    </row>
    <row r="328" spans="1:9" hidden="1" x14ac:dyDescent="0.25">
      <c r="A328">
        <v>327</v>
      </c>
      <c r="B328" t="s">
        <v>671</v>
      </c>
      <c r="C328">
        <v>1</v>
      </c>
      <c r="D328" t="s">
        <v>672</v>
      </c>
      <c r="E328" t="s">
        <v>673</v>
      </c>
      <c r="F328" t="s">
        <v>139</v>
      </c>
      <c r="G328" t="s">
        <v>139</v>
      </c>
      <c r="H328" t="s">
        <v>674</v>
      </c>
      <c r="I328" t="str">
        <f>_xlfn.XLOOKUP(H328,'SO-DIMM-i5'!A:A,'SO-DIMM-i5'!B:B,_xlfn.XLOOKUP(H328,'SO-DIMM-i5'!H:H,'SO-DIMM-i5'!G:G,""))</f>
        <v/>
      </c>
    </row>
    <row r="329" spans="1:9" hidden="1" x14ac:dyDescent="0.25">
      <c r="A329">
        <v>328</v>
      </c>
      <c r="B329" t="s">
        <v>675</v>
      </c>
      <c r="C329">
        <v>1</v>
      </c>
      <c r="D329" t="s">
        <v>676</v>
      </c>
      <c r="E329" t="s">
        <v>677</v>
      </c>
      <c r="F329" t="s">
        <v>139</v>
      </c>
      <c r="G329" t="s">
        <v>139</v>
      </c>
      <c r="H329" t="s">
        <v>678</v>
      </c>
      <c r="I329" t="str">
        <f>_xlfn.XLOOKUP(H329,'SO-DIMM-i5'!A:A,'SO-DIMM-i5'!B:B,_xlfn.XLOOKUP(H329,'SO-DIMM-i5'!H:H,'SO-DIMM-i5'!G:G,""))</f>
        <v/>
      </c>
    </row>
    <row r="330" spans="1:9" hidden="1" x14ac:dyDescent="0.25">
      <c r="A330">
        <v>329</v>
      </c>
      <c r="B330" t="s">
        <v>593</v>
      </c>
      <c r="C330" t="s">
        <v>139</v>
      </c>
      <c r="D330" t="s">
        <v>139</v>
      </c>
      <c r="E330" t="s">
        <v>139</v>
      </c>
      <c r="F330" t="s">
        <v>139</v>
      </c>
      <c r="G330" t="s">
        <v>139</v>
      </c>
      <c r="H330" t="s">
        <v>139</v>
      </c>
      <c r="I330" t="str">
        <f>_xlfn.XLOOKUP(H330,'SO-DIMM-i5'!A:A,'SO-DIMM-i5'!B:B,_xlfn.XLOOKUP(H330,'SO-DIMM-i5'!H:H,'SO-DIMM-i5'!G:G,""))</f>
        <v/>
      </c>
    </row>
    <row r="331" spans="1:9" hidden="1" x14ac:dyDescent="0.25">
      <c r="A331">
        <v>330</v>
      </c>
      <c r="B331" t="s">
        <v>679</v>
      </c>
      <c r="C331">
        <v>1</v>
      </c>
      <c r="D331" t="s">
        <v>680</v>
      </c>
      <c r="E331" t="s">
        <v>681</v>
      </c>
      <c r="F331" t="s">
        <v>139</v>
      </c>
      <c r="G331" t="s">
        <v>139</v>
      </c>
      <c r="H331" t="s">
        <v>682</v>
      </c>
      <c r="I331" t="str">
        <f>_xlfn.XLOOKUP(H331,'SO-DIMM-i5'!A:A,'SO-DIMM-i5'!B:B,_xlfn.XLOOKUP(H331,'SO-DIMM-i5'!H:H,'SO-DIMM-i5'!G:G,""))</f>
        <v/>
      </c>
    </row>
    <row r="332" spans="1:9" hidden="1" x14ac:dyDescent="0.25">
      <c r="A332">
        <v>331</v>
      </c>
      <c r="B332" t="s">
        <v>161</v>
      </c>
      <c r="C332" t="s">
        <v>139</v>
      </c>
      <c r="D332" t="s">
        <v>139</v>
      </c>
      <c r="E332" t="s">
        <v>139</v>
      </c>
      <c r="F332" t="s">
        <v>139</v>
      </c>
      <c r="G332" t="s">
        <v>139</v>
      </c>
      <c r="H332" t="s">
        <v>139</v>
      </c>
      <c r="I332" t="str">
        <f>_xlfn.XLOOKUP(H332,'SO-DIMM-i5'!A:A,'SO-DIMM-i5'!B:B,_xlfn.XLOOKUP(H332,'SO-DIMM-i5'!H:H,'SO-DIMM-i5'!G:G,""))</f>
        <v/>
      </c>
    </row>
    <row r="333" spans="1:9" hidden="1" x14ac:dyDescent="0.25">
      <c r="A333">
        <v>332</v>
      </c>
      <c r="B333" t="s">
        <v>167</v>
      </c>
      <c r="C333" t="s">
        <v>139</v>
      </c>
      <c r="D333" t="s">
        <v>139</v>
      </c>
      <c r="E333" t="s">
        <v>139</v>
      </c>
      <c r="F333" t="s">
        <v>139</v>
      </c>
      <c r="G333" t="s">
        <v>139</v>
      </c>
      <c r="H333" t="s">
        <v>139</v>
      </c>
      <c r="I333" t="str">
        <f>_xlfn.XLOOKUP(H333,'SO-DIMM-i5'!A:A,'SO-DIMM-i5'!B:B,_xlfn.XLOOKUP(H333,'SO-DIMM-i5'!H:H,'SO-DIMM-i5'!G:G,""))</f>
        <v/>
      </c>
    </row>
    <row r="334" spans="1:9" hidden="1" x14ac:dyDescent="0.25">
      <c r="A334">
        <v>333</v>
      </c>
      <c r="B334" t="s">
        <v>683</v>
      </c>
      <c r="C334">
        <v>0</v>
      </c>
      <c r="D334" t="s">
        <v>684</v>
      </c>
      <c r="E334" t="s">
        <v>685</v>
      </c>
      <c r="F334" t="s">
        <v>139</v>
      </c>
      <c r="G334" t="s">
        <v>139</v>
      </c>
      <c r="H334" t="s">
        <v>686</v>
      </c>
      <c r="I334" t="str">
        <f>_xlfn.XLOOKUP(H334,'SO-DIMM-i5'!A:A,'SO-DIMM-i5'!B:B,_xlfn.XLOOKUP(H334,'SO-DIMM-i5'!H:H,'SO-DIMM-i5'!G:G,""))</f>
        <v/>
      </c>
    </row>
    <row r="335" spans="1:9" hidden="1" x14ac:dyDescent="0.25">
      <c r="A335">
        <v>334</v>
      </c>
      <c r="B335" t="s">
        <v>687</v>
      </c>
      <c r="C335" t="s">
        <v>139</v>
      </c>
      <c r="D335" t="s">
        <v>139</v>
      </c>
      <c r="E335" t="s">
        <v>139</v>
      </c>
      <c r="F335" t="s">
        <v>139</v>
      </c>
      <c r="G335" t="s">
        <v>139</v>
      </c>
      <c r="H335" t="s">
        <v>139</v>
      </c>
      <c r="I335" t="str">
        <f>_xlfn.XLOOKUP(H335,'SO-DIMM-i5'!A:A,'SO-DIMM-i5'!B:B,_xlfn.XLOOKUP(H335,'SO-DIMM-i5'!H:H,'SO-DIMM-i5'!G:G,""))</f>
        <v/>
      </c>
    </row>
    <row r="336" spans="1:9" hidden="1" x14ac:dyDescent="0.25">
      <c r="A336">
        <v>335</v>
      </c>
      <c r="B336" t="s">
        <v>688</v>
      </c>
      <c r="C336">
        <v>0</v>
      </c>
      <c r="D336" t="s">
        <v>689</v>
      </c>
      <c r="E336" t="s">
        <v>690</v>
      </c>
      <c r="F336" t="s">
        <v>139</v>
      </c>
      <c r="G336" t="s">
        <v>139</v>
      </c>
      <c r="H336" t="s">
        <v>691</v>
      </c>
      <c r="I336" t="str">
        <f>_xlfn.XLOOKUP(H336,'SO-DIMM-i5'!A:A,'SO-DIMM-i5'!B:B,_xlfn.XLOOKUP(H336,'SO-DIMM-i5'!H:H,'SO-DIMM-i5'!G:G,""))</f>
        <v/>
      </c>
    </row>
    <row r="337" spans="1:9" hidden="1" x14ac:dyDescent="0.25">
      <c r="A337">
        <v>336</v>
      </c>
      <c r="B337" t="s">
        <v>692</v>
      </c>
      <c r="C337">
        <v>0</v>
      </c>
      <c r="D337" t="s">
        <v>693</v>
      </c>
      <c r="E337" t="s">
        <v>694</v>
      </c>
      <c r="F337" t="s">
        <v>139</v>
      </c>
      <c r="G337" t="s">
        <v>139</v>
      </c>
      <c r="H337" t="s">
        <v>695</v>
      </c>
      <c r="I337" t="str">
        <f>_xlfn.XLOOKUP(H337,'SO-DIMM-i5'!A:A,'SO-DIMM-i5'!B:B,_xlfn.XLOOKUP(H337,'SO-DIMM-i5'!H:H,'SO-DIMM-i5'!G:G,""))</f>
        <v/>
      </c>
    </row>
    <row r="338" spans="1:9" hidden="1" x14ac:dyDescent="0.25">
      <c r="A338">
        <v>337</v>
      </c>
      <c r="B338" t="s">
        <v>696</v>
      </c>
      <c r="C338" t="s">
        <v>139</v>
      </c>
      <c r="D338" t="s">
        <v>139</v>
      </c>
      <c r="E338" t="s">
        <v>139</v>
      </c>
      <c r="F338" t="s">
        <v>139</v>
      </c>
      <c r="G338" t="s">
        <v>139</v>
      </c>
      <c r="H338" t="s">
        <v>139</v>
      </c>
      <c r="I338" t="str">
        <f>_xlfn.XLOOKUP(H338,'SO-DIMM-i5'!A:A,'SO-DIMM-i5'!B:B,_xlfn.XLOOKUP(H338,'SO-DIMM-i5'!H:H,'SO-DIMM-i5'!G:G,""))</f>
        <v/>
      </c>
    </row>
    <row r="339" spans="1:9" hidden="1" x14ac:dyDescent="0.25">
      <c r="A339">
        <v>338</v>
      </c>
      <c r="B339" t="s">
        <v>697</v>
      </c>
      <c r="C339">
        <v>0</v>
      </c>
      <c r="D339" t="s">
        <v>698</v>
      </c>
      <c r="E339" t="s">
        <v>699</v>
      </c>
      <c r="F339" t="s">
        <v>139</v>
      </c>
      <c r="G339" t="s">
        <v>139</v>
      </c>
      <c r="H339" t="s">
        <v>700</v>
      </c>
      <c r="I339" t="str">
        <f>_xlfn.XLOOKUP(H339,'SO-DIMM-i5'!A:A,'SO-DIMM-i5'!B:B,_xlfn.XLOOKUP(H339,'SO-DIMM-i5'!H:H,'SO-DIMM-i5'!G:G,""))</f>
        <v/>
      </c>
    </row>
    <row r="340" spans="1:9" hidden="1" x14ac:dyDescent="0.25">
      <c r="A340">
        <v>339</v>
      </c>
      <c r="B340" t="s">
        <v>701</v>
      </c>
      <c r="C340">
        <v>0</v>
      </c>
      <c r="D340" t="s">
        <v>702</v>
      </c>
      <c r="E340" t="s">
        <v>703</v>
      </c>
      <c r="F340" t="s">
        <v>139</v>
      </c>
      <c r="G340" t="s">
        <v>139</v>
      </c>
      <c r="H340" t="s">
        <v>704</v>
      </c>
      <c r="I340" t="str">
        <f>_xlfn.XLOOKUP(H340,'SO-DIMM-i5'!A:A,'SO-DIMM-i5'!B:B,_xlfn.XLOOKUP(H340,'SO-DIMM-i5'!H:H,'SO-DIMM-i5'!G:G,""))</f>
        <v/>
      </c>
    </row>
    <row r="341" spans="1:9" hidden="1" x14ac:dyDescent="0.25">
      <c r="A341">
        <v>340</v>
      </c>
      <c r="B341" t="s">
        <v>161</v>
      </c>
      <c r="C341" t="s">
        <v>139</v>
      </c>
      <c r="D341" t="s">
        <v>139</v>
      </c>
      <c r="E341" t="s">
        <v>139</v>
      </c>
      <c r="F341" t="s">
        <v>139</v>
      </c>
      <c r="G341" t="s">
        <v>139</v>
      </c>
      <c r="H341" t="s">
        <v>139</v>
      </c>
      <c r="I341" t="str">
        <f>_xlfn.XLOOKUP(H341,'SO-DIMM-i5'!A:A,'SO-DIMM-i5'!B:B,_xlfn.XLOOKUP(H341,'SO-DIMM-i5'!H:H,'SO-DIMM-i5'!G:G,""))</f>
        <v/>
      </c>
    </row>
    <row r="342" spans="1:9" hidden="1" x14ac:dyDescent="0.25">
      <c r="A342">
        <v>341</v>
      </c>
      <c r="B342" t="s">
        <v>705</v>
      </c>
      <c r="C342">
        <v>0</v>
      </c>
      <c r="D342" t="s">
        <v>139</v>
      </c>
      <c r="E342" t="s">
        <v>706</v>
      </c>
      <c r="F342" t="s">
        <v>139</v>
      </c>
      <c r="G342" t="s">
        <v>139</v>
      </c>
      <c r="H342" t="s">
        <v>707</v>
      </c>
      <c r="I342" t="str">
        <f>_xlfn.XLOOKUP(H342,'SO-DIMM-i5'!A:A,'SO-DIMM-i5'!B:B,_xlfn.XLOOKUP(H342,'SO-DIMM-i5'!H:H,'SO-DIMM-i5'!G:G,""))</f>
        <v/>
      </c>
    </row>
    <row r="343" spans="1:9" hidden="1" x14ac:dyDescent="0.25">
      <c r="A343">
        <v>342</v>
      </c>
      <c r="B343" t="s">
        <v>708</v>
      </c>
      <c r="C343">
        <v>0</v>
      </c>
      <c r="D343" t="s">
        <v>709</v>
      </c>
      <c r="E343" t="s">
        <v>710</v>
      </c>
      <c r="F343" t="s">
        <v>139</v>
      </c>
      <c r="G343" t="s">
        <v>139</v>
      </c>
      <c r="H343" t="s">
        <v>711</v>
      </c>
      <c r="I343" t="str">
        <f>_xlfn.XLOOKUP(H343,'SO-DIMM-i5'!A:A,'SO-DIMM-i5'!B:B,_xlfn.XLOOKUP(H343,'SO-DIMM-i5'!H:H,'SO-DIMM-i5'!G:G,""))</f>
        <v/>
      </c>
    </row>
    <row r="344" spans="1:9" hidden="1" x14ac:dyDescent="0.25">
      <c r="A344">
        <v>343</v>
      </c>
      <c r="B344" t="s">
        <v>167</v>
      </c>
      <c r="C344" t="s">
        <v>139</v>
      </c>
      <c r="D344" t="s">
        <v>139</v>
      </c>
      <c r="E344" t="s">
        <v>139</v>
      </c>
      <c r="F344" t="s">
        <v>139</v>
      </c>
      <c r="G344" t="s">
        <v>139</v>
      </c>
      <c r="H344" t="s">
        <v>139</v>
      </c>
      <c r="I344" t="str">
        <f>_xlfn.XLOOKUP(H344,'SO-DIMM-i5'!A:A,'SO-DIMM-i5'!B:B,_xlfn.XLOOKUP(H344,'SO-DIMM-i5'!H:H,'SO-DIMM-i5'!G:G,""))</f>
        <v/>
      </c>
    </row>
    <row r="345" spans="1:9" hidden="1" x14ac:dyDescent="0.25">
      <c r="A345">
        <v>344</v>
      </c>
      <c r="B345" t="s">
        <v>712</v>
      </c>
      <c r="C345">
        <v>0</v>
      </c>
      <c r="D345" t="s">
        <v>139</v>
      </c>
      <c r="E345" t="s">
        <v>713</v>
      </c>
      <c r="F345" t="s">
        <v>139</v>
      </c>
      <c r="G345" t="s">
        <v>139</v>
      </c>
      <c r="H345" t="s">
        <v>714</v>
      </c>
      <c r="I345" t="str">
        <f>_xlfn.XLOOKUP(H345,'SO-DIMM-i5'!A:A,'SO-DIMM-i5'!B:B,_xlfn.XLOOKUP(H345,'SO-DIMM-i5'!H:H,'SO-DIMM-i5'!G:G,""))</f>
        <v/>
      </c>
    </row>
    <row r="346" spans="1:9" hidden="1" x14ac:dyDescent="0.25">
      <c r="A346">
        <v>345</v>
      </c>
      <c r="B346" t="s">
        <v>715</v>
      </c>
      <c r="C346">
        <v>0</v>
      </c>
      <c r="D346" t="s">
        <v>139</v>
      </c>
      <c r="E346" t="s">
        <v>716</v>
      </c>
      <c r="F346" t="s">
        <v>139</v>
      </c>
      <c r="G346" t="s">
        <v>139</v>
      </c>
      <c r="H346" t="s">
        <v>717</v>
      </c>
      <c r="I346" t="str">
        <f>_xlfn.XLOOKUP(H346,'SO-DIMM-i5'!A:A,'SO-DIMM-i5'!B:B,_xlfn.XLOOKUP(H346,'SO-DIMM-i5'!H:H,'SO-DIMM-i5'!G:G,""))</f>
        <v/>
      </c>
    </row>
    <row r="347" spans="1:9" hidden="1" x14ac:dyDescent="0.25">
      <c r="A347">
        <v>346</v>
      </c>
      <c r="B347" t="s">
        <v>161</v>
      </c>
      <c r="C347" t="s">
        <v>139</v>
      </c>
      <c r="D347" t="s">
        <v>139</v>
      </c>
      <c r="E347" t="s">
        <v>139</v>
      </c>
      <c r="F347" t="s">
        <v>139</v>
      </c>
      <c r="G347" t="s">
        <v>139</v>
      </c>
      <c r="H347" t="s">
        <v>139</v>
      </c>
      <c r="I347" t="str">
        <f>_xlfn.XLOOKUP(H347,'SO-DIMM-i5'!A:A,'SO-DIMM-i5'!B:B,_xlfn.XLOOKUP(H347,'SO-DIMM-i5'!H:H,'SO-DIMM-i5'!G:G,""))</f>
        <v/>
      </c>
    </row>
    <row r="348" spans="1:9" hidden="1" x14ac:dyDescent="0.25">
      <c r="A348">
        <v>347</v>
      </c>
      <c r="B348" t="s">
        <v>718</v>
      </c>
      <c r="C348">
        <v>0</v>
      </c>
      <c r="D348" t="s">
        <v>139</v>
      </c>
      <c r="E348" t="s">
        <v>719</v>
      </c>
      <c r="F348" t="s">
        <v>139</v>
      </c>
      <c r="G348" t="s">
        <v>139</v>
      </c>
      <c r="H348" t="s">
        <v>720</v>
      </c>
      <c r="I348" t="str">
        <f>_xlfn.XLOOKUP(H348,'SO-DIMM-i5'!A:A,'SO-DIMM-i5'!B:B,_xlfn.XLOOKUP(H348,'SO-DIMM-i5'!H:H,'SO-DIMM-i5'!G:G,""))</f>
        <v/>
      </c>
    </row>
    <row r="349" spans="1:9" hidden="1" x14ac:dyDescent="0.25">
      <c r="A349">
        <v>348</v>
      </c>
      <c r="B349" t="s">
        <v>721</v>
      </c>
      <c r="C349">
        <v>0</v>
      </c>
      <c r="D349" t="s">
        <v>139</v>
      </c>
      <c r="E349" t="s">
        <v>722</v>
      </c>
      <c r="F349" t="s">
        <v>139</v>
      </c>
      <c r="G349" t="s">
        <v>139</v>
      </c>
      <c r="H349" t="s">
        <v>723</v>
      </c>
      <c r="I349" t="str">
        <f>_xlfn.XLOOKUP(H349,'SO-DIMM-i5'!A:A,'SO-DIMM-i5'!B:B,_xlfn.XLOOKUP(H349,'SO-DIMM-i5'!H:H,'SO-DIMM-i5'!G:G,""))</f>
        <v/>
      </c>
    </row>
    <row r="350" spans="1:9" hidden="1" x14ac:dyDescent="0.25">
      <c r="A350">
        <v>349</v>
      </c>
      <c r="B350" t="s">
        <v>156</v>
      </c>
      <c r="C350" t="s">
        <v>139</v>
      </c>
      <c r="D350" t="s">
        <v>139</v>
      </c>
      <c r="E350" t="s">
        <v>139</v>
      </c>
      <c r="F350" t="s">
        <v>139</v>
      </c>
      <c r="G350" t="s">
        <v>139</v>
      </c>
      <c r="H350" t="s">
        <v>139</v>
      </c>
      <c r="I350" t="str">
        <f>_xlfn.XLOOKUP(H350,'SO-DIMM-i5'!A:A,'SO-DIMM-i5'!B:B,_xlfn.XLOOKUP(H350,'SO-DIMM-i5'!H:H,'SO-DIMM-i5'!G:G,""))</f>
        <v/>
      </c>
    </row>
    <row r="351" spans="1:9" hidden="1" x14ac:dyDescent="0.25">
      <c r="A351">
        <v>350</v>
      </c>
      <c r="B351" t="s">
        <v>724</v>
      </c>
      <c r="C351">
        <v>0</v>
      </c>
      <c r="D351" t="s">
        <v>139</v>
      </c>
      <c r="E351" t="s">
        <v>725</v>
      </c>
      <c r="F351" t="s">
        <v>139</v>
      </c>
      <c r="G351" t="s">
        <v>139</v>
      </c>
      <c r="H351" t="s">
        <v>726</v>
      </c>
      <c r="I351" t="str">
        <f>_xlfn.XLOOKUP(H351,'SO-DIMM-i5'!A:A,'SO-DIMM-i5'!B:B,_xlfn.XLOOKUP(H351,'SO-DIMM-i5'!H:H,'SO-DIMM-i5'!G:G,""))</f>
        <v/>
      </c>
    </row>
    <row r="352" spans="1:9" hidden="1" x14ac:dyDescent="0.25">
      <c r="A352">
        <v>351</v>
      </c>
      <c r="B352" t="s">
        <v>727</v>
      </c>
      <c r="C352">
        <v>0</v>
      </c>
      <c r="D352" t="s">
        <v>139</v>
      </c>
      <c r="E352" t="s">
        <v>728</v>
      </c>
      <c r="F352" t="s">
        <v>139</v>
      </c>
      <c r="G352" t="s">
        <v>139</v>
      </c>
      <c r="H352" t="s">
        <v>729</v>
      </c>
      <c r="I352" t="str">
        <f>_xlfn.XLOOKUP(H352,'SO-DIMM-i5'!A:A,'SO-DIMM-i5'!B:B,_xlfn.XLOOKUP(H352,'SO-DIMM-i5'!H:H,'SO-DIMM-i5'!G:G,""))</f>
        <v/>
      </c>
    </row>
    <row r="353" spans="1:9" hidden="1" x14ac:dyDescent="0.25">
      <c r="A353">
        <v>352</v>
      </c>
      <c r="B353" t="s">
        <v>687</v>
      </c>
      <c r="C353" t="s">
        <v>139</v>
      </c>
      <c r="D353" t="s">
        <v>139</v>
      </c>
      <c r="E353" t="s">
        <v>139</v>
      </c>
      <c r="F353" t="s">
        <v>139</v>
      </c>
      <c r="G353" t="s">
        <v>139</v>
      </c>
      <c r="H353" t="s">
        <v>139</v>
      </c>
      <c r="I353" t="str">
        <f>_xlfn.XLOOKUP(H353,'SO-DIMM-i5'!A:A,'SO-DIMM-i5'!B:B,_xlfn.XLOOKUP(H353,'SO-DIMM-i5'!H:H,'SO-DIMM-i5'!G:G,""))</f>
        <v/>
      </c>
    </row>
    <row r="354" spans="1:9" hidden="1" x14ac:dyDescent="0.25">
      <c r="A354">
        <v>353</v>
      </c>
      <c r="B354" t="s">
        <v>730</v>
      </c>
      <c r="C354">
        <v>0</v>
      </c>
      <c r="D354" t="s">
        <v>139</v>
      </c>
      <c r="E354" t="s">
        <v>731</v>
      </c>
      <c r="F354" t="s">
        <v>139</v>
      </c>
      <c r="G354" t="s">
        <v>139</v>
      </c>
      <c r="H354" t="s">
        <v>732</v>
      </c>
      <c r="I354" t="str">
        <f>_xlfn.XLOOKUP(H354,'SO-DIMM-i5'!A:A,'SO-DIMM-i5'!B:B,_xlfn.XLOOKUP(H354,'SO-DIMM-i5'!H:H,'SO-DIMM-i5'!G:G,""))</f>
        <v/>
      </c>
    </row>
    <row r="355" spans="1:9" hidden="1" x14ac:dyDescent="0.25">
      <c r="A355">
        <v>354</v>
      </c>
      <c r="B355" t="s">
        <v>733</v>
      </c>
      <c r="C355">
        <v>0</v>
      </c>
      <c r="D355" t="s">
        <v>139</v>
      </c>
      <c r="E355" t="s">
        <v>734</v>
      </c>
      <c r="F355" t="s">
        <v>139</v>
      </c>
      <c r="G355" t="s">
        <v>139</v>
      </c>
      <c r="H355" t="s">
        <v>735</v>
      </c>
      <c r="I355" t="str">
        <f>_xlfn.XLOOKUP(H355,'SO-DIMM-i5'!A:A,'SO-DIMM-i5'!B:B,_xlfn.XLOOKUP(H355,'SO-DIMM-i5'!H:H,'SO-DIMM-i5'!G:G,""))</f>
        <v/>
      </c>
    </row>
    <row r="356" spans="1:9" hidden="1" x14ac:dyDescent="0.25">
      <c r="A356">
        <v>355</v>
      </c>
      <c r="B356" t="s">
        <v>696</v>
      </c>
      <c r="C356" t="s">
        <v>139</v>
      </c>
      <c r="D356" t="s">
        <v>139</v>
      </c>
      <c r="E356" t="s">
        <v>139</v>
      </c>
      <c r="F356" t="s">
        <v>139</v>
      </c>
      <c r="G356" t="s">
        <v>139</v>
      </c>
      <c r="H356" t="s">
        <v>139</v>
      </c>
      <c r="I356" t="str">
        <f>_xlfn.XLOOKUP(H356,'SO-DIMM-i5'!A:A,'SO-DIMM-i5'!B:B,_xlfn.XLOOKUP(H356,'SO-DIMM-i5'!H:H,'SO-DIMM-i5'!G:G,""))</f>
        <v/>
      </c>
    </row>
    <row r="357" spans="1:9" hidden="1" x14ac:dyDescent="0.25">
      <c r="A357">
        <v>356</v>
      </c>
      <c r="B357" t="s">
        <v>736</v>
      </c>
      <c r="C357">
        <v>0</v>
      </c>
      <c r="D357" t="s">
        <v>139</v>
      </c>
      <c r="E357" t="s">
        <v>737</v>
      </c>
      <c r="F357" t="s">
        <v>139</v>
      </c>
      <c r="G357" t="s">
        <v>139</v>
      </c>
      <c r="H357" t="s">
        <v>738</v>
      </c>
      <c r="I357" t="str">
        <f>_xlfn.XLOOKUP(H357,'SO-DIMM-i5'!A:A,'SO-DIMM-i5'!B:B,_xlfn.XLOOKUP(H357,'SO-DIMM-i5'!H:H,'SO-DIMM-i5'!G:G,""))</f>
        <v/>
      </c>
    </row>
    <row r="358" spans="1:9" hidden="1" x14ac:dyDescent="0.25">
      <c r="A358">
        <v>357</v>
      </c>
      <c r="B358" t="s">
        <v>739</v>
      </c>
      <c r="C358">
        <v>0</v>
      </c>
      <c r="D358" t="s">
        <v>139</v>
      </c>
      <c r="E358" t="s">
        <v>740</v>
      </c>
      <c r="F358" t="s">
        <v>139</v>
      </c>
      <c r="G358" t="s">
        <v>139</v>
      </c>
      <c r="H358" t="s">
        <v>741</v>
      </c>
      <c r="I358" t="str">
        <f>_xlfn.XLOOKUP(H358,'SO-DIMM-i5'!A:A,'SO-DIMM-i5'!B:B,_xlfn.XLOOKUP(H358,'SO-DIMM-i5'!H:H,'SO-DIMM-i5'!G:G,""))</f>
        <v/>
      </c>
    </row>
    <row r="359" spans="1:9" hidden="1" x14ac:dyDescent="0.25">
      <c r="A359">
        <v>358</v>
      </c>
      <c r="B359" t="s">
        <v>687</v>
      </c>
      <c r="C359" t="s">
        <v>139</v>
      </c>
      <c r="D359" t="s">
        <v>139</v>
      </c>
      <c r="E359" t="s">
        <v>139</v>
      </c>
      <c r="F359" t="s">
        <v>139</v>
      </c>
      <c r="G359" t="s">
        <v>139</v>
      </c>
      <c r="H359" t="s">
        <v>139</v>
      </c>
      <c r="I359" t="str">
        <f>_xlfn.XLOOKUP(H359,'SO-DIMM-i5'!A:A,'SO-DIMM-i5'!B:B,_xlfn.XLOOKUP(H359,'SO-DIMM-i5'!H:H,'SO-DIMM-i5'!G:G,""))</f>
        <v/>
      </c>
    </row>
    <row r="360" spans="1:9" hidden="1" x14ac:dyDescent="0.25">
      <c r="A360">
        <v>359</v>
      </c>
      <c r="B360" t="s">
        <v>742</v>
      </c>
      <c r="C360">
        <v>0</v>
      </c>
      <c r="D360" t="s">
        <v>139</v>
      </c>
      <c r="E360" t="s">
        <v>743</v>
      </c>
      <c r="F360" t="s">
        <v>139</v>
      </c>
      <c r="G360" t="s">
        <v>139</v>
      </c>
      <c r="H360" t="s">
        <v>744</v>
      </c>
      <c r="I360" t="str">
        <f>_xlfn.XLOOKUP(H360,'SO-DIMM-i5'!A:A,'SO-DIMM-i5'!B:B,_xlfn.XLOOKUP(H360,'SO-DIMM-i5'!H:H,'SO-DIMM-i5'!G:G,""))</f>
        <v/>
      </c>
    </row>
    <row r="361" spans="1:9" hidden="1" x14ac:dyDescent="0.25">
      <c r="A361">
        <v>360</v>
      </c>
      <c r="B361" t="s">
        <v>745</v>
      </c>
      <c r="C361">
        <v>0</v>
      </c>
      <c r="D361" t="s">
        <v>139</v>
      </c>
      <c r="E361" t="s">
        <v>746</v>
      </c>
      <c r="F361" t="s">
        <v>139</v>
      </c>
      <c r="G361" t="s">
        <v>139</v>
      </c>
      <c r="H361" t="s">
        <v>747</v>
      </c>
      <c r="I361" t="str">
        <f>_xlfn.XLOOKUP(H361,'SO-DIMM-i5'!A:A,'SO-DIMM-i5'!B:B,_xlfn.XLOOKUP(H361,'SO-DIMM-i5'!H:H,'SO-DIMM-i5'!G:G,""))</f>
        <v/>
      </c>
    </row>
    <row r="362" spans="1:9" hidden="1" x14ac:dyDescent="0.25">
      <c r="A362">
        <v>361</v>
      </c>
      <c r="B362" t="s">
        <v>696</v>
      </c>
      <c r="C362" t="s">
        <v>139</v>
      </c>
      <c r="D362" t="s">
        <v>139</v>
      </c>
      <c r="E362" t="s">
        <v>139</v>
      </c>
      <c r="F362" t="s">
        <v>139</v>
      </c>
      <c r="G362" t="s">
        <v>139</v>
      </c>
      <c r="H362" t="s">
        <v>139</v>
      </c>
      <c r="I362" t="str">
        <f>_xlfn.XLOOKUP(H362,'SO-DIMM-i5'!A:A,'SO-DIMM-i5'!B:B,_xlfn.XLOOKUP(H362,'SO-DIMM-i5'!H:H,'SO-DIMM-i5'!G:G,""))</f>
        <v/>
      </c>
    </row>
    <row r="363" spans="1:9" hidden="1" x14ac:dyDescent="0.25">
      <c r="A363">
        <v>362</v>
      </c>
      <c r="B363" t="s">
        <v>748</v>
      </c>
      <c r="C363">
        <v>0</v>
      </c>
      <c r="D363" t="s">
        <v>139</v>
      </c>
      <c r="E363" t="s">
        <v>749</v>
      </c>
      <c r="F363" t="s">
        <v>139</v>
      </c>
      <c r="G363" t="s">
        <v>139</v>
      </c>
      <c r="H363" t="s">
        <v>750</v>
      </c>
      <c r="I363" t="str">
        <f>_xlfn.XLOOKUP(H363,'SO-DIMM-i5'!A:A,'SO-DIMM-i5'!B:B,_xlfn.XLOOKUP(H363,'SO-DIMM-i5'!H:H,'SO-DIMM-i5'!G:G,""))</f>
        <v/>
      </c>
    </row>
    <row r="364" spans="1:9" hidden="1" x14ac:dyDescent="0.25">
      <c r="A364">
        <v>363</v>
      </c>
      <c r="B364" t="s">
        <v>751</v>
      </c>
      <c r="C364">
        <v>0</v>
      </c>
      <c r="D364" t="s">
        <v>139</v>
      </c>
      <c r="E364" t="s">
        <v>752</v>
      </c>
      <c r="F364" t="s">
        <v>139</v>
      </c>
      <c r="G364" t="s">
        <v>139</v>
      </c>
      <c r="H364" t="s">
        <v>753</v>
      </c>
      <c r="I364" t="str">
        <f>_xlfn.XLOOKUP(H364,'SO-DIMM-i5'!A:A,'SO-DIMM-i5'!B:B,_xlfn.XLOOKUP(H364,'SO-DIMM-i5'!H:H,'SO-DIMM-i5'!G:G,""))</f>
        <v/>
      </c>
    </row>
    <row r="365" spans="1:9" hidden="1" x14ac:dyDescent="0.25">
      <c r="A365">
        <v>364</v>
      </c>
      <c r="B365" t="s">
        <v>161</v>
      </c>
      <c r="C365" t="s">
        <v>139</v>
      </c>
      <c r="D365" t="s">
        <v>139</v>
      </c>
      <c r="E365" t="s">
        <v>139</v>
      </c>
      <c r="F365" t="s">
        <v>139</v>
      </c>
      <c r="G365" t="s">
        <v>139</v>
      </c>
      <c r="H365" t="s">
        <v>139</v>
      </c>
      <c r="I365" t="str">
        <f>_xlfn.XLOOKUP(H365,'SO-DIMM-i5'!A:A,'SO-DIMM-i5'!B:B,_xlfn.XLOOKUP(H365,'SO-DIMM-i5'!H:H,'SO-DIMM-i5'!G:G,""))</f>
        <v/>
      </c>
    </row>
    <row r="366" spans="1:9" hidden="1" x14ac:dyDescent="0.25">
      <c r="A366">
        <v>365</v>
      </c>
      <c r="B366" t="s">
        <v>754</v>
      </c>
      <c r="C366">
        <v>0</v>
      </c>
      <c r="D366" t="s">
        <v>139</v>
      </c>
      <c r="E366" t="s">
        <v>755</v>
      </c>
      <c r="F366" t="s">
        <v>139</v>
      </c>
      <c r="G366" t="s">
        <v>139</v>
      </c>
      <c r="H366" t="s">
        <v>756</v>
      </c>
      <c r="I366" t="str">
        <f>_xlfn.XLOOKUP(H366,'SO-DIMM-i5'!A:A,'SO-DIMM-i5'!B:B,_xlfn.XLOOKUP(H366,'SO-DIMM-i5'!H:H,'SO-DIMM-i5'!G:G,""))</f>
        <v/>
      </c>
    </row>
    <row r="367" spans="1:9" x14ac:dyDescent="0.25">
      <c r="A367">
        <v>366</v>
      </c>
      <c r="B367" t="s">
        <v>757</v>
      </c>
      <c r="C367">
        <v>0</v>
      </c>
      <c r="D367" t="s">
        <v>139</v>
      </c>
      <c r="E367" t="s">
        <v>758</v>
      </c>
      <c r="F367" t="s">
        <v>139</v>
      </c>
      <c r="G367" t="s">
        <v>139</v>
      </c>
      <c r="H367" t="s">
        <v>99</v>
      </c>
      <c r="I367">
        <f>_xlfn.XLOOKUP(H367,'SO-DIMM-i5'!A:A,'SO-DIMM-i5'!B:B,_xlfn.XLOOKUP(H367,'SO-DIMM-i5'!H:H,'SO-DIMM-i5'!G:G,""))</f>
        <v>122</v>
      </c>
    </row>
    <row r="368" spans="1:9" hidden="1" x14ac:dyDescent="0.25">
      <c r="A368">
        <v>367</v>
      </c>
      <c r="B368" t="s">
        <v>167</v>
      </c>
      <c r="C368" t="s">
        <v>139</v>
      </c>
      <c r="D368" t="s">
        <v>139</v>
      </c>
      <c r="E368" t="s">
        <v>139</v>
      </c>
      <c r="F368" t="s">
        <v>139</v>
      </c>
      <c r="G368" t="s">
        <v>139</v>
      </c>
      <c r="H368" t="s">
        <v>139</v>
      </c>
      <c r="I368" t="str">
        <f>_xlfn.XLOOKUP(H368,'SO-DIMM-i5'!A:A,'SO-DIMM-i5'!B:B,_xlfn.XLOOKUP(H368,'SO-DIMM-i5'!H:H,'SO-DIMM-i5'!G:G,""))</f>
        <v/>
      </c>
    </row>
    <row r="369" spans="1:9" hidden="1" x14ac:dyDescent="0.25">
      <c r="A369">
        <v>368</v>
      </c>
      <c r="B369" t="s">
        <v>759</v>
      </c>
      <c r="C369">
        <v>0</v>
      </c>
      <c r="D369" t="s">
        <v>139</v>
      </c>
      <c r="E369" t="s">
        <v>760</v>
      </c>
      <c r="F369" t="s">
        <v>139</v>
      </c>
      <c r="G369" t="s">
        <v>139</v>
      </c>
      <c r="H369" t="s">
        <v>761</v>
      </c>
      <c r="I369" t="str">
        <f>_xlfn.XLOOKUP(H369,'SO-DIMM-i5'!A:A,'SO-DIMM-i5'!B:B,_xlfn.XLOOKUP(H369,'SO-DIMM-i5'!H:H,'SO-DIMM-i5'!G:G,""))</f>
        <v/>
      </c>
    </row>
    <row r="370" spans="1:9" hidden="1" x14ac:dyDescent="0.25">
      <c r="A370">
        <v>369</v>
      </c>
      <c r="B370" t="s">
        <v>161</v>
      </c>
      <c r="C370" t="s">
        <v>139</v>
      </c>
      <c r="D370" t="s">
        <v>139</v>
      </c>
      <c r="E370" t="s">
        <v>139</v>
      </c>
      <c r="F370" t="s">
        <v>139</v>
      </c>
      <c r="G370" t="s">
        <v>139</v>
      </c>
      <c r="H370" t="s">
        <v>139</v>
      </c>
      <c r="I370" t="str">
        <f>_xlfn.XLOOKUP(H370,'SO-DIMM-i5'!A:A,'SO-DIMM-i5'!B:B,_xlfn.XLOOKUP(H370,'SO-DIMM-i5'!H:H,'SO-DIMM-i5'!G:G,""))</f>
        <v/>
      </c>
    </row>
    <row r="371" spans="1:9" hidden="1" x14ac:dyDescent="0.25">
      <c r="A371">
        <v>370</v>
      </c>
      <c r="B371" t="s">
        <v>167</v>
      </c>
      <c r="C371" t="s">
        <v>139</v>
      </c>
      <c r="D371" t="s">
        <v>139</v>
      </c>
      <c r="E371" t="s">
        <v>139</v>
      </c>
      <c r="F371" t="s">
        <v>139</v>
      </c>
      <c r="G371" t="s">
        <v>139</v>
      </c>
      <c r="H371" t="s">
        <v>139</v>
      </c>
      <c r="I371" t="str">
        <f>_xlfn.XLOOKUP(H371,'SO-DIMM-i5'!A:A,'SO-DIMM-i5'!B:B,_xlfn.XLOOKUP(H371,'SO-DIMM-i5'!H:H,'SO-DIMM-i5'!G:G,""))</f>
        <v/>
      </c>
    </row>
    <row r="372" spans="1:9" hidden="1" x14ac:dyDescent="0.25">
      <c r="A372">
        <v>371</v>
      </c>
      <c r="B372" t="s">
        <v>167</v>
      </c>
      <c r="C372" t="s">
        <v>139</v>
      </c>
      <c r="D372" t="s">
        <v>139</v>
      </c>
      <c r="E372" t="s">
        <v>139</v>
      </c>
      <c r="F372" t="s">
        <v>139</v>
      </c>
      <c r="G372" t="s">
        <v>139</v>
      </c>
      <c r="H372" t="s">
        <v>139</v>
      </c>
      <c r="I372" t="str">
        <f>_xlfn.XLOOKUP(H372,'SO-DIMM-i5'!A:A,'SO-DIMM-i5'!B:B,_xlfn.XLOOKUP(H372,'SO-DIMM-i5'!H:H,'SO-DIMM-i5'!G:G,""))</f>
        <v/>
      </c>
    </row>
    <row r="373" spans="1:9" hidden="1" x14ac:dyDescent="0.25">
      <c r="A373">
        <v>372</v>
      </c>
      <c r="B373" t="s">
        <v>4</v>
      </c>
      <c r="C373" t="s">
        <v>139</v>
      </c>
      <c r="D373" t="s">
        <v>139</v>
      </c>
      <c r="E373" t="s">
        <v>139</v>
      </c>
      <c r="F373" t="s">
        <v>139</v>
      </c>
      <c r="G373" t="s">
        <v>139</v>
      </c>
      <c r="H373" t="s">
        <v>139</v>
      </c>
      <c r="I373" t="str">
        <f>_xlfn.XLOOKUP(H373,'SO-DIMM-i5'!A:A,'SO-DIMM-i5'!B:B,_xlfn.XLOOKUP(H373,'SO-DIMM-i5'!H:H,'SO-DIMM-i5'!G:G,""))</f>
        <v/>
      </c>
    </row>
    <row r="374" spans="1:9" hidden="1" x14ac:dyDescent="0.25">
      <c r="A374">
        <v>0</v>
      </c>
      <c r="B374" t="s">
        <v>12</v>
      </c>
      <c r="C374" t="s">
        <v>139</v>
      </c>
      <c r="D374" t="s">
        <v>139</v>
      </c>
      <c r="E374" t="s">
        <v>139</v>
      </c>
      <c r="F374" t="s">
        <v>139</v>
      </c>
      <c r="G374" t="s">
        <v>139</v>
      </c>
      <c r="H374" t="s">
        <v>139</v>
      </c>
      <c r="I374" t="str">
        <f>_xlfn.XLOOKUP(H374,'SO-DIMM-i5'!A:A,'SO-DIMM-i5'!B:B,_xlfn.XLOOKUP(H374,'SO-DIMM-i5'!H:H,'SO-DIMM-i5'!G:G,""))</f>
        <v/>
      </c>
    </row>
    <row r="375" spans="1:9" hidden="1" x14ac:dyDescent="0.25">
      <c r="A375">
        <v>0</v>
      </c>
      <c r="B375" t="s">
        <v>4</v>
      </c>
      <c r="C375" t="s">
        <v>139</v>
      </c>
      <c r="D375" t="s">
        <v>139</v>
      </c>
      <c r="E375" t="s">
        <v>139</v>
      </c>
      <c r="F375" t="s">
        <v>139</v>
      </c>
      <c r="G375" t="s">
        <v>139</v>
      </c>
      <c r="H375" t="s">
        <v>762</v>
      </c>
      <c r="I375" t="str">
        <f>_xlfn.XLOOKUP(H375,'SO-DIMM-i5'!A:A,'SO-DIMM-i5'!B:B,_xlfn.XLOOKUP(H375,'SO-DIMM-i5'!H:H,'SO-DIMM-i5'!G:G,""))</f>
        <v/>
      </c>
    </row>
    <row r="376" spans="1:9" hidden="1" x14ac:dyDescent="0.25">
      <c r="A376">
        <v>0</v>
      </c>
      <c r="B376" t="s">
        <v>4</v>
      </c>
      <c r="C376" t="s">
        <v>139</v>
      </c>
      <c r="D376" t="s">
        <v>139</v>
      </c>
      <c r="E376" t="s">
        <v>139</v>
      </c>
      <c r="F376" t="s">
        <v>139</v>
      </c>
      <c r="G376" t="s">
        <v>139</v>
      </c>
      <c r="H376" t="s">
        <v>763</v>
      </c>
      <c r="I376" t="str">
        <f>_xlfn.XLOOKUP(H376,'SO-DIMM-i5'!A:A,'SO-DIMM-i5'!B:B,_xlfn.XLOOKUP(H376,'SO-DIMM-i5'!H:H,'SO-DIMM-i5'!G:G,""))</f>
        <v/>
      </c>
    </row>
    <row r="377" spans="1:9" hidden="1" x14ac:dyDescent="0.25">
      <c r="A377">
        <v>0</v>
      </c>
      <c r="B377" t="s">
        <v>4</v>
      </c>
      <c r="C377" t="s">
        <v>139</v>
      </c>
      <c r="D377" t="s">
        <v>139</v>
      </c>
      <c r="E377" t="s">
        <v>139</v>
      </c>
      <c r="F377" t="s">
        <v>139</v>
      </c>
      <c r="G377" t="s">
        <v>139</v>
      </c>
      <c r="H377" t="s">
        <v>764</v>
      </c>
      <c r="I377" t="str">
        <f>_xlfn.XLOOKUP(H377,'SO-DIMM-i5'!A:A,'SO-DIMM-i5'!B:B,_xlfn.XLOOKUP(H377,'SO-DIMM-i5'!H:H,'SO-DIMM-i5'!G:G,""))</f>
        <v/>
      </c>
    </row>
    <row r="378" spans="1:9" hidden="1" x14ac:dyDescent="0.25">
      <c r="A378">
        <v>0</v>
      </c>
      <c r="B378" t="s">
        <v>4</v>
      </c>
      <c r="C378" t="s">
        <v>139</v>
      </c>
      <c r="D378" t="s">
        <v>139</v>
      </c>
      <c r="E378" t="s">
        <v>139</v>
      </c>
      <c r="F378" t="s">
        <v>139</v>
      </c>
      <c r="G378" t="s">
        <v>139</v>
      </c>
      <c r="H378" t="s">
        <v>765</v>
      </c>
      <c r="I378" t="str">
        <f>_xlfn.XLOOKUP(H378,'SO-DIMM-i5'!A:A,'SO-DIMM-i5'!B:B,_xlfn.XLOOKUP(H378,'SO-DIMM-i5'!H:H,'SO-DIMM-i5'!G:G,""))</f>
        <v/>
      </c>
    </row>
    <row r="379" spans="1:9" hidden="1" x14ac:dyDescent="0.25">
      <c r="A379">
        <v>0</v>
      </c>
      <c r="B379" t="s">
        <v>4</v>
      </c>
      <c r="C379" t="s">
        <v>139</v>
      </c>
      <c r="D379" t="s">
        <v>139</v>
      </c>
      <c r="E379" t="s">
        <v>139</v>
      </c>
      <c r="F379" t="s">
        <v>139</v>
      </c>
      <c r="G379" t="s">
        <v>139</v>
      </c>
      <c r="H379" t="s">
        <v>766</v>
      </c>
      <c r="I379" t="str">
        <f>_xlfn.XLOOKUP(H379,'SO-DIMM-i5'!A:A,'SO-DIMM-i5'!B:B,_xlfn.XLOOKUP(H379,'SO-DIMM-i5'!H:H,'SO-DIMM-i5'!G:G,""))</f>
        <v/>
      </c>
    </row>
    <row r="380" spans="1:9" hidden="1" x14ac:dyDescent="0.25">
      <c r="A380">
        <v>0</v>
      </c>
      <c r="B380" t="s">
        <v>4</v>
      </c>
      <c r="C380" t="s">
        <v>139</v>
      </c>
      <c r="D380" t="s">
        <v>139</v>
      </c>
      <c r="E380" t="s">
        <v>139</v>
      </c>
      <c r="F380" t="s">
        <v>139</v>
      </c>
      <c r="G380" t="s">
        <v>139</v>
      </c>
      <c r="H380" t="s">
        <v>767</v>
      </c>
      <c r="I380" t="str">
        <f>_xlfn.XLOOKUP(H380,'SO-DIMM-i5'!A:A,'SO-DIMM-i5'!B:B,_xlfn.XLOOKUP(H380,'SO-DIMM-i5'!H:H,'SO-DIMM-i5'!G:G,""))</f>
        <v/>
      </c>
    </row>
    <row r="381" spans="1:9" hidden="1" x14ac:dyDescent="0.25">
      <c r="A381">
        <v>0</v>
      </c>
      <c r="B381" t="s">
        <v>4</v>
      </c>
      <c r="C381" t="s">
        <v>139</v>
      </c>
      <c r="D381" t="s">
        <v>139</v>
      </c>
      <c r="E381" t="s">
        <v>139</v>
      </c>
      <c r="F381" t="s">
        <v>139</v>
      </c>
      <c r="G381" t="s">
        <v>139</v>
      </c>
      <c r="H381" t="s">
        <v>768</v>
      </c>
      <c r="I381" t="str">
        <f>_xlfn.XLOOKUP(H381,'SO-DIMM-i5'!A:A,'SO-DIMM-i5'!B:B,_xlfn.XLOOKUP(H381,'SO-DIMM-i5'!H:H,'SO-DIMM-i5'!G:G,""))</f>
        <v/>
      </c>
    </row>
    <row r="382" spans="1:9" hidden="1" x14ac:dyDescent="0.25">
      <c r="A382">
        <v>0</v>
      </c>
      <c r="B382" t="s">
        <v>4</v>
      </c>
      <c r="C382" t="s">
        <v>139</v>
      </c>
      <c r="D382" t="s">
        <v>139</v>
      </c>
      <c r="E382" t="s">
        <v>139</v>
      </c>
      <c r="F382" t="s">
        <v>139</v>
      </c>
      <c r="G382" t="s">
        <v>139</v>
      </c>
      <c r="H382" t="s">
        <v>769</v>
      </c>
      <c r="I382" t="str">
        <f>_xlfn.XLOOKUP(H382,'SO-DIMM-i5'!A:A,'SO-DIMM-i5'!B:B,_xlfn.XLOOKUP(H382,'SO-DIMM-i5'!H:H,'SO-DIMM-i5'!G:G,""))</f>
        <v/>
      </c>
    </row>
    <row r="383" spans="1:9" hidden="1" x14ac:dyDescent="0.25">
      <c r="A383">
        <v>0</v>
      </c>
      <c r="B383" t="s">
        <v>4</v>
      </c>
      <c r="C383" t="s">
        <v>139</v>
      </c>
      <c r="D383" t="s">
        <v>139</v>
      </c>
      <c r="E383" t="s">
        <v>139</v>
      </c>
      <c r="F383" t="s">
        <v>139</v>
      </c>
      <c r="G383" t="s">
        <v>139</v>
      </c>
      <c r="H383" t="s">
        <v>770</v>
      </c>
      <c r="I383" t="str">
        <f>_xlfn.XLOOKUP(H383,'SO-DIMM-i5'!A:A,'SO-DIMM-i5'!B:B,_xlfn.XLOOKUP(H383,'SO-DIMM-i5'!H:H,'SO-DIMM-i5'!G:G,""))</f>
        <v/>
      </c>
    </row>
    <row r="384" spans="1:9" hidden="1" x14ac:dyDescent="0.25">
      <c r="A384">
        <v>0</v>
      </c>
      <c r="B384" t="s">
        <v>4</v>
      </c>
      <c r="C384" t="s">
        <v>139</v>
      </c>
      <c r="D384" t="s">
        <v>139</v>
      </c>
      <c r="E384" t="s">
        <v>139</v>
      </c>
      <c r="F384" t="s">
        <v>139</v>
      </c>
      <c r="G384" t="s">
        <v>139</v>
      </c>
      <c r="H384" t="s">
        <v>771</v>
      </c>
      <c r="I384" t="str">
        <f>_xlfn.XLOOKUP(H384,'SO-DIMM-i5'!A:A,'SO-DIMM-i5'!B:B,_xlfn.XLOOKUP(H384,'SO-DIMM-i5'!H:H,'SO-DIMM-i5'!G:G,""))</f>
        <v/>
      </c>
    </row>
    <row r="385" spans="1:9" hidden="1" x14ac:dyDescent="0.25">
      <c r="A385">
        <v>0</v>
      </c>
      <c r="B385" t="s">
        <v>4</v>
      </c>
      <c r="C385" t="s">
        <v>139</v>
      </c>
      <c r="D385" t="s">
        <v>139</v>
      </c>
      <c r="E385" t="s">
        <v>139</v>
      </c>
      <c r="F385" t="s">
        <v>139</v>
      </c>
      <c r="G385" t="s">
        <v>139</v>
      </c>
      <c r="H385" t="s">
        <v>772</v>
      </c>
      <c r="I385" t="str">
        <f>_xlfn.XLOOKUP(H385,'SO-DIMM-i5'!A:A,'SO-DIMM-i5'!B:B,_xlfn.XLOOKUP(H385,'SO-DIMM-i5'!H:H,'SO-DIMM-i5'!G:G,""))</f>
        <v/>
      </c>
    </row>
    <row r="386" spans="1:9" hidden="1" x14ac:dyDescent="0.25">
      <c r="A386">
        <v>0</v>
      </c>
      <c r="B386" t="s">
        <v>4</v>
      </c>
      <c r="C386" t="s">
        <v>139</v>
      </c>
      <c r="D386" t="s">
        <v>139</v>
      </c>
      <c r="E386" t="s">
        <v>139</v>
      </c>
      <c r="F386" t="s">
        <v>139</v>
      </c>
      <c r="G386" t="s">
        <v>139</v>
      </c>
      <c r="H386" t="s">
        <v>773</v>
      </c>
      <c r="I386" t="str">
        <f>_xlfn.XLOOKUP(H386,'SO-DIMM-i5'!A:A,'SO-DIMM-i5'!B:B,_xlfn.XLOOKUP(H386,'SO-DIMM-i5'!H:H,'SO-DIMM-i5'!G:G,""))</f>
        <v/>
      </c>
    </row>
    <row r="387" spans="1:9" hidden="1" x14ac:dyDescent="0.25">
      <c r="A387">
        <v>0</v>
      </c>
      <c r="B387" t="s">
        <v>4</v>
      </c>
      <c r="C387" t="s">
        <v>139</v>
      </c>
      <c r="D387" t="s">
        <v>139</v>
      </c>
      <c r="E387" t="s">
        <v>139</v>
      </c>
      <c r="F387" t="s">
        <v>139</v>
      </c>
      <c r="G387" t="s">
        <v>139</v>
      </c>
      <c r="H387" t="s">
        <v>774</v>
      </c>
      <c r="I387" t="str">
        <f>_xlfn.XLOOKUP(H387,'SO-DIMM-i5'!A:A,'SO-DIMM-i5'!B:B,_xlfn.XLOOKUP(H387,'SO-DIMM-i5'!H:H,'SO-DIMM-i5'!G:G,""))</f>
        <v/>
      </c>
    </row>
    <row r="388" spans="1:9" hidden="1" x14ac:dyDescent="0.25">
      <c r="A388">
        <v>0</v>
      </c>
      <c r="B388" t="s">
        <v>4</v>
      </c>
      <c r="C388" t="s">
        <v>139</v>
      </c>
      <c r="D388" t="s">
        <v>139</v>
      </c>
      <c r="E388" t="s">
        <v>139</v>
      </c>
      <c r="F388" t="s">
        <v>139</v>
      </c>
      <c r="G388" t="s">
        <v>139</v>
      </c>
      <c r="H388" t="s">
        <v>775</v>
      </c>
      <c r="I388" t="str">
        <f>_xlfn.XLOOKUP(H388,'SO-DIMM-i5'!A:A,'SO-DIMM-i5'!B:B,_xlfn.XLOOKUP(H388,'SO-DIMM-i5'!H:H,'SO-DIMM-i5'!G:G,""))</f>
        <v/>
      </c>
    </row>
    <row r="389" spans="1:9" hidden="1" x14ac:dyDescent="0.25">
      <c r="A389">
        <v>0</v>
      </c>
      <c r="B389" t="s">
        <v>4</v>
      </c>
      <c r="C389" t="s">
        <v>139</v>
      </c>
      <c r="D389" t="s">
        <v>139</v>
      </c>
      <c r="E389" t="s">
        <v>139</v>
      </c>
      <c r="F389" t="s">
        <v>139</v>
      </c>
      <c r="G389" t="s">
        <v>139</v>
      </c>
      <c r="H389" t="s">
        <v>776</v>
      </c>
      <c r="I389" t="str">
        <f>_xlfn.XLOOKUP(H389,'SO-DIMM-i5'!A:A,'SO-DIMM-i5'!B:B,_xlfn.XLOOKUP(H389,'SO-DIMM-i5'!H:H,'SO-DIMM-i5'!G:G,""))</f>
        <v/>
      </c>
    </row>
    <row r="390" spans="1:9" hidden="1" x14ac:dyDescent="0.25">
      <c r="A390">
        <v>0</v>
      </c>
      <c r="B390" t="s">
        <v>4</v>
      </c>
      <c r="C390" t="s">
        <v>139</v>
      </c>
      <c r="D390" t="s">
        <v>139</v>
      </c>
      <c r="E390" t="s">
        <v>139</v>
      </c>
      <c r="F390" t="s">
        <v>139</v>
      </c>
      <c r="G390" t="s">
        <v>139</v>
      </c>
      <c r="H390" t="s">
        <v>777</v>
      </c>
      <c r="I390" t="str">
        <f>_xlfn.XLOOKUP(H390,'SO-DIMM-i5'!A:A,'SO-DIMM-i5'!B:B,_xlfn.XLOOKUP(H390,'SO-DIMM-i5'!H:H,'SO-DIMM-i5'!G:G,""))</f>
        <v/>
      </c>
    </row>
    <row r="391" spans="1:9" hidden="1" x14ac:dyDescent="0.25">
      <c r="A391">
        <v>0</v>
      </c>
      <c r="B391" t="s">
        <v>4</v>
      </c>
      <c r="C391" t="s">
        <v>139</v>
      </c>
      <c r="D391" t="s">
        <v>139</v>
      </c>
      <c r="E391" t="s">
        <v>139</v>
      </c>
      <c r="F391" t="s">
        <v>139</v>
      </c>
      <c r="G391" t="s">
        <v>139</v>
      </c>
      <c r="H391" t="s">
        <v>778</v>
      </c>
      <c r="I391" t="str">
        <f>_xlfn.XLOOKUP(H391,'SO-DIMM-i5'!A:A,'SO-DIMM-i5'!B:B,_xlfn.XLOOKUP(H391,'SO-DIMM-i5'!H:H,'SO-DIMM-i5'!G:G,""))</f>
        <v/>
      </c>
    </row>
    <row r="392" spans="1:9" hidden="1" x14ac:dyDescent="0.25">
      <c r="A392">
        <v>0</v>
      </c>
      <c r="B392" t="s">
        <v>4</v>
      </c>
      <c r="C392" t="s">
        <v>139</v>
      </c>
      <c r="D392" t="s">
        <v>139</v>
      </c>
      <c r="E392" t="s">
        <v>139</v>
      </c>
      <c r="F392" t="s">
        <v>139</v>
      </c>
      <c r="G392" t="s">
        <v>139</v>
      </c>
      <c r="H392" t="s">
        <v>779</v>
      </c>
      <c r="I392" t="str">
        <f>_xlfn.XLOOKUP(H392,'SO-DIMM-i5'!A:A,'SO-DIMM-i5'!B:B,_xlfn.XLOOKUP(H392,'SO-DIMM-i5'!H:H,'SO-DIMM-i5'!G:G,""))</f>
        <v/>
      </c>
    </row>
    <row r="393" spans="1:9" hidden="1" x14ac:dyDescent="0.25">
      <c r="A393">
        <v>0</v>
      </c>
      <c r="B393" t="s">
        <v>4</v>
      </c>
      <c r="C393" t="s">
        <v>139</v>
      </c>
      <c r="D393" t="s">
        <v>139</v>
      </c>
      <c r="E393" t="s">
        <v>139</v>
      </c>
      <c r="F393" t="s">
        <v>139</v>
      </c>
      <c r="G393" t="s">
        <v>139</v>
      </c>
      <c r="H393" t="s">
        <v>780</v>
      </c>
      <c r="I393" t="str">
        <f>_xlfn.XLOOKUP(H393,'SO-DIMM-i5'!A:A,'SO-DIMM-i5'!B:B,_xlfn.XLOOKUP(H393,'SO-DIMM-i5'!H:H,'SO-DIMM-i5'!G:G,""))</f>
        <v/>
      </c>
    </row>
    <row r="394" spans="1:9" hidden="1" x14ac:dyDescent="0.25">
      <c r="A394">
        <v>0</v>
      </c>
      <c r="B394" t="s">
        <v>4</v>
      </c>
      <c r="C394" t="s">
        <v>139</v>
      </c>
      <c r="D394" t="s">
        <v>139</v>
      </c>
      <c r="E394" t="s">
        <v>139</v>
      </c>
      <c r="F394" t="s">
        <v>139</v>
      </c>
      <c r="G394" t="s">
        <v>139</v>
      </c>
      <c r="H394" t="s">
        <v>781</v>
      </c>
      <c r="I394" t="str">
        <f>_xlfn.XLOOKUP(H394,'SO-DIMM-i5'!A:A,'SO-DIMM-i5'!B:B,_xlfn.XLOOKUP(H394,'SO-DIMM-i5'!H:H,'SO-DIMM-i5'!G:G,""))</f>
        <v/>
      </c>
    </row>
    <row r="395" spans="1:9" hidden="1" x14ac:dyDescent="0.25">
      <c r="A395">
        <v>0</v>
      </c>
      <c r="B395" t="s">
        <v>4</v>
      </c>
      <c r="C395" t="s">
        <v>139</v>
      </c>
      <c r="D395" t="s">
        <v>139</v>
      </c>
      <c r="E395" t="s">
        <v>139</v>
      </c>
      <c r="F395" t="s">
        <v>139</v>
      </c>
      <c r="G395" t="s">
        <v>139</v>
      </c>
      <c r="H395" t="s">
        <v>782</v>
      </c>
      <c r="I395" t="str">
        <f>_xlfn.XLOOKUP(H395,'SO-DIMM-i5'!A:A,'SO-DIMM-i5'!B:B,_xlfn.XLOOKUP(H395,'SO-DIMM-i5'!H:H,'SO-DIMM-i5'!G:G,""))</f>
        <v/>
      </c>
    </row>
    <row r="396" spans="1:9" hidden="1" x14ac:dyDescent="0.25">
      <c r="A396">
        <v>0</v>
      </c>
      <c r="B396" t="s">
        <v>4</v>
      </c>
      <c r="C396" t="s">
        <v>139</v>
      </c>
      <c r="D396" t="s">
        <v>139</v>
      </c>
      <c r="E396" t="s">
        <v>139</v>
      </c>
      <c r="F396" t="s">
        <v>139</v>
      </c>
      <c r="G396" t="s">
        <v>139</v>
      </c>
      <c r="H396" t="s">
        <v>783</v>
      </c>
      <c r="I396" t="str">
        <f>_xlfn.XLOOKUP(H396,'SO-DIMM-i5'!A:A,'SO-DIMM-i5'!B:B,_xlfn.XLOOKUP(H396,'SO-DIMM-i5'!H:H,'SO-DIMM-i5'!G:G,""))</f>
        <v/>
      </c>
    </row>
    <row r="397" spans="1:9" hidden="1" x14ac:dyDescent="0.25">
      <c r="A397">
        <v>0</v>
      </c>
      <c r="B397" t="s">
        <v>4</v>
      </c>
      <c r="C397" t="s">
        <v>139</v>
      </c>
      <c r="D397" t="s">
        <v>139</v>
      </c>
      <c r="E397" t="s">
        <v>139</v>
      </c>
      <c r="F397" t="s">
        <v>139</v>
      </c>
      <c r="G397" t="s">
        <v>139</v>
      </c>
      <c r="H397" t="s">
        <v>784</v>
      </c>
      <c r="I397" t="str">
        <f>_xlfn.XLOOKUP(H397,'SO-DIMM-i5'!A:A,'SO-DIMM-i5'!B:B,_xlfn.XLOOKUP(H397,'SO-DIMM-i5'!H:H,'SO-DIMM-i5'!G:G,""))</f>
        <v/>
      </c>
    </row>
    <row r="398" spans="1:9" hidden="1" x14ac:dyDescent="0.25">
      <c r="A398">
        <v>0</v>
      </c>
      <c r="B398" t="s">
        <v>4</v>
      </c>
      <c r="C398" t="s">
        <v>139</v>
      </c>
      <c r="D398" t="s">
        <v>139</v>
      </c>
      <c r="E398" t="s">
        <v>139</v>
      </c>
      <c r="F398" t="s">
        <v>139</v>
      </c>
      <c r="G398" t="s">
        <v>139</v>
      </c>
      <c r="H398" t="s">
        <v>785</v>
      </c>
      <c r="I398" t="str">
        <f>_xlfn.XLOOKUP(H398,'SO-DIMM-i5'!A:A,'SO-DIMM-i5'!B:B,_xlfn.XLOOKUP(H398,'SO-DIMM-i5'!H:H,'SO-DIMM-i5'!G:G,""))</f>
        <v/>
      </c>
    </row>
    <row r="399" spans="1:9" hidden="1" x14ac:dyDescent="0.25">
      <c r="A399">
        <v>0</v>
      </c>
      <c r="B399" t="s">
        <v>4</v>
      </c>
      <c r="C399" t="s">
        <v>139</v>
      </c>
      <c r="D399" t="s">
        <v>139</v>
      </c>
      <c r="E399" t="s">
        <v>139</v>
      </c>
      <c r="F399" t="s">
        <v>139</v>
      </c>
      <c r="G399" t="s">
        <v>139</v>
      </c>
      <c r="H399" t="s">
        <v>786</v>
      </c>
      <c r="I399" t="str">
        <f>_xlfn.XLOOKUP(H399,'SO-DIMM-i5'!A:A,'SO-DIMM-i5'!B:B,_xlfn.XLOOKUP(H399,'SO-DIMM-i5'!H:H,'SO-DIMM-i5'!G:G,""))</f>
        <v/>
      </c>
    </row>
    <row r="400" spans="1:9" hidden="1" x14ac:dyDescent="0.25">
      <c r="A400">
        <v>0</v>
      </c>
      <c r="B400" t="s">
        <v>4</v>
      </c>
      <c r="C400" t="s">
        <v>139</v>
      </c>
      <c r="D400" t="s">
        <v>139</v>
      </c>
      <c r="E400" t="s">
        <v>139</v>
      </c>
      <c r="F400" t="s">
        <v>139</v>
      </c>
      <c r="G400" t="s">
        <v>139</v>
      </c>
      <c r="H400" t="s">
        <v>787</v>
      </c>
      <c r="I400" t="str">
        <f>_xlfn.XLOOKUP(H400,'SO-DIMM-i5'!A:A,'SO-DIMM-i5'!B:B,_xlfn.XLOOKUP(H400,'SO-DIMM-i5'!H:H,'SO-DIMM-i5'!G:G,""))</f>
        <v/>
      </c>
    </row>
    <row r="401" spans="1:9" hidden="1" x14ac:dyDescent="0.25">
      <c r="A401">
        <v>0</v>
      </c>
      <c r="B401" t="s">
        <v>4</v>
      </c>
      <c r="C401" t="s">
        <v>139</v>
      </c>
      <c r="D401" t="s">
        <v>139</v>
      </c>
      <c r="E401" t="s">
        <v>139</v>
      </c>
      <c r="F401" t="s">
        <v>139</v>
      </c>
      <c r="G401" t="s">
        <v>139</v>
      </c>
      <c r="H401" t="s">
        <v>788</v>
      </c>
      <c r="I401" t="str">
        <f>_xlfn.XLOOKUP(H401,'SO-DIMM-i5'!A:A,'SO-DIMM-i5'!B:B,_xlfn.XLOOKUP(H401,'SO-DIMM-i5'!H:H,'SO-DIMM-i5'!G:G,""))</f>
        <v/>
      </c>
    </row>
    <row r="402" spans="1:9" hidden="1" x14ac:dyDescent="0.25">
      <c r="A402">
        <v>0</v>
      </c>
      <c r="B402" t="s">
        <v>4</v>
      </c>
      <c r="C402" t="s">
        <v>139</v>
      </c>
      <c r="D402" t="s">
        <v>139</v>
      </c>
      <c r="E402" t="s">
        <v>139</v>
      </c>
      <c r="F402" t="s">
        <v>139</v>
      </c>
      <c r="G402" t="s">
        <v>139</v>
      </c>
      <c r="H402" t="s">
        <v>789</v>
      </c>
      <c r="I402" t="str">
        <f>_xlfn.XLOOKUP(H402,'SO-DIMM-i5'!A:A,'SO-DIMM-i5'!B:B,_xlfn.XLOOKUP(H402,'SO-DIMM-i5'!H:H,'SO-DIMM-i5'!G:G,""))</f>
        <v/>
      </c>
    </row>
    <row r="403" spans="1:9" hidden="1" x14ac:dyDescent="0.25">
      <c r="A403">
        <v>0</v>
      </c>
      <c r="B403" t="s">
        <v>4</v>
      </c>
      <c r="C403" t="s">
        <v>139</v>
      </c>
      <c r="D403" t="s">
        <v>139</v>
      </c>
      <c r="E403" t="s">
        <v>139</v>
      </c>
      <c r="F403" t="s">
        <v>139</v>
      </c>
      <c r="G403" t="s">
        <v>139</v>
      </c>
      <c r="H403" t="s">
        <v>790</v>
      </c>
      <c r="I403" t="str">
        <f>_xlfn.XLOOKUP(H403,'SO-DIMM-i5'!A:A,'SO-DIMM-i5'!B:B,_xlfn.XLOOKUP(H403,'SO-DIMM-i5'!H:H,'SO-DIMM-i5'!G:G,""))</f>
        <v/>
      </c>
    </row>
    <row r="404" spans="1:9" hidden="1" x14ac:dyDescent="0.25">
      <c r="A404">
        <v>0</v>
      </c>
      <c r="B404" t="s">
        <v>4</v>
      </c>
      <c r="C404" t="s">
        <v>139</v>
      </c>
      <c r="D404" t="s">
        <v>139</v>
      </c>
      <c r="E404" t="s">
        <v>139</v>
      </c>
      <c r="F404" t="s">
        <v>139</v>
      </c>
      <c r="G404" t="s">
        <v>139</v>
      </c>
      <c r="H404" t="s">
        <v>791</v>
      </c>
      <c r="I404" t="str">
        <f>_xlfn.XLOOKUP(H404,'SO-DIMM-i5'!A:A,'SO-DIMM-i5'!B:B,_xlfn.XLOOKUP(H404,'SO-DIMM-i5'!H:H,'SO-DIMM-i5'!G:G,""))</f>
        <v/>
      </c>
    </row>
    <row r="405" spans="1:9" hidden="1" x14ac:dyDescent="0.25">
      <c r="A405">
        <v>0</v>
      </c>
      <c r="B405" t="s">
        <v>4</v>
      </c>
      <c r="C405" t="s">
        <v>139</v>
      </c>
      <c r="D405" t="s">
        <v>139</v>
      </c>
      <c r="E405" t="s">
        <v>139</v>
      </c>
      <c r="F405" t="s">
        <v>139</v>
      </c>
      <c r="G405" t="s">
        <v>139</v>
      </c>
      <c r="H405" t="s">
        <v>792</v>
      </c>
      <c r="I405" t="str">
        <f>_xlfn.XLOOKUP(H405,'SO-DIMM-i5'!A:A,'SO-DIMM-i5'!B:B,_xlfn.XLOOKUP(H405,'SO-DIMM-i5'!H:H,'SO-DIMM-i5'!G:G,""))</f>
        <v/>
      </c>
    </row>
    <row r="406" spans="1:9" hidden="1" x14ac:dyDescent="0.25">
      <c r="A406">
        <v>0</v>
      </c>
      <c r="B406" t="s">
        <v>4</v>
      </c>
      <c r="C406" t="s">
        <v>139</v>
      </c>
      <c r="D406" t="s">
        <v>139</v>
      </c>
      <c r="E406" t="s">
        <v>139</v>
      </c>
      <c r="F406" t="s">
        <v>139</v>
      </c>
      <c r="G406" t="s">
        <v>139</v>
      </c>
      <c r="H406" t="s">
        <v>793</v>
      </c>
      <c r="I406" t="str">
        <f>_xlfn.XLOOKUP(H406,'SO-DIMM-i5'!A:A,'SO-DIMM-i5'!B:B,_xlfn.XLOOKUP(H406,'SO-DIMM-i5'!H:H,'SO-DIMM-i5'!G:G,""))</f>
        <v/>
      </c>
    </row>
    <row r="407" spans="1:9" hidden="1" x14ac:dyDescent="0.25">
      <c r="A407">
        <v>0</v>
      </c>
      <c r="B407" t="s">
        <v>4</v>
      </c>
      <c r="C407" t="s">
        <v>139</v>
      </c>
      <c r="D407" t="s">
        <v>139</v>
      </c>
      <c r="E407" t="s">
        <v>139</v>
      </c>
      <c r="F407" t="s">
        <v>139</v>
      </c>
      <c r="G407" t="s">
        <v>139</v>
      </c>
      <c r="H407" t="s">
        <v>794</v>
      </c>
      <c r="I407" t="str">
        <f>_xlfn.XLOOKUP(H407,'SO-DIMM-i5'!A:A,'SO-DIMM-i5'!B:B,_xlfn.XLOOKUP(H407,'SO-DIMM-i5'!H:H,'SO-DIMM-i5'!G:G,""))</f>
        <v/>
      </c>
    </row>
    <row r="408" spans="1:9" hidden="1" x14ac:dyDescent="0.25">
      <c r="A408">
        <v>0</v>
      </c>
      <c r="B408" t="s">
        <v>4</v>
      </c>
      <c r="C408" t="s">
        <v>139</v>
      </c>
      <c r="D408" t="s">
        <v>139</v>
      </c>
      <c r="E408" t="s">
        <v>139</v>
      </c>
      <c r="F408" t="s">
        <v>139</v>
      </c>
      <c r="G408" t="s">
        <v>139</v>
      </c>
      <c r="H408" t="s">
        <v>795</v>
      </c>
      <c r="I408" t="str">
        <f>_xlfn.XLOOKUP(H408,'SO-DIMM-i5'!A:A,'SO-DIMM-i5'!B:B,_xlfn.XLOOKUP(H408,'SO-DIMM-i5'!H:H,'SO-DIMM-i5'!G:G,""))</f>
        <v/>
      </c>
    </row>
    <row r="409" spans="1:9" hidden="1" x14ac:dyDescent="0.25">
      <c r="A409">
        <v>0</v>
      </c>
      <c r="B409" t="s">
        <v>4</v>
      </c>
      <c r="C409" t="s">
        <v>139</v>
      </c>
      <c r="D409" t="s">
        <v>139</v>
      </c>
      <c r="E409" t="s">
        <v>139</v>
      </c>
      <c r="F409" t="s">
        <v>139</v>
      </c>
      <c r="G409" t="s">
        <v>139</v>
      </c>
      <c r="H409" t="s">
        <v>796</v>
      </c>
      <c r="I409" t="str">
        <f>_xlfn.XLOOKUP(H409,'SO-DIMM-i5'!A:A,'SO-DIMM-i5'!B:B,_xlfn.XLOOKUP(H409,'SO-DIMM-i5'!H:H,'SO-DIMM-i5'!G:G,""))</f>
        <v/>
      </c>
    </row>
    <row r="410" spans="1:9" hidden="1" x14ac:dyDescent="0.25">
      <c r="A410">
        <v>0</v>
      </c>
      <c r="B410" t="s">
        <v>4</v>
      </c>
      <c r="C410" t="s">
        <v>139</v>
      </c>
      <c r="D410" t="s">
        <v>139</v>
      </c>
      <c r="E410" t="s">
        <v>139</v>
      </c>
      <c r="F410" t="s">
        <v>139</v>
      </c>
      <c r="G410" t="s">
        <v>139</v>
      </c>
      <c r="H410" t="s">
        <v>797</v>
      </c>
      <c r="I410" t="str">
        <f>_xlfn.XLOOKUP(H410,'SO-DIMM-i5'!A:A,'SO-DIMM-i5'!B:B,_xlfn.XLOOKUP(H410,'SO-DIMM-i5'!H:H,'SO-DIMM-i5'!G:G,""))</f>
        <v/>
      </c>
    </row>
    <row r="411" spans="1:9" hidden="1" x14ac:dyDescent="0.25">
      <c r="A411">
        <v>0</v>
      </c>
      <c r="B411" t="s">
        <v>4</v>
      </c>
      <c r="C411" t="s">
        <v>139</v>
      </c>
      <c r="D411" t="s">
        <v>139</v>
      </c>
      <c r="E411" t="s">
        <v>139</v>
      </c>
      <c r="F411" t="s">
        <v>139</v>
      </c>
      <c r="G411" t="s">
        <v>139</v>
      </c>
      <c r="H411" t="s">
        <v>798</v>
      </c>
      <c r="I411" t="str">
        <f>_xlfn.XLOOKUP(H411,'SO-DIMM-i5'!A:A,'SO-DIMM-i5'!B:B,_xlfn.XLOOKUP(H411,'SO-DIMM-i5'!H:H,'SO-DIMM-i5'!G:G,""))</f>
        <v/>
      </c>
    </row>
    <row r="412" spans="1:9" hidden="1" x14ac:dyDescent="0.25">
      <c r="A412">
        <v>0</v>
      </c>
      <c r="B412" t="s">
        <v>4</v>
      </c>
      <c r="C412" t="s">
        <v>139</v>
      </c>
      <c r="D412" t="s">
        <v>139</v>
      </c>
      <c r="E412" t="s">
        <v>139</v>
      </c>
      <c r="F412" t="s">
        <v>139</v>
      </c>
      <c r="G412" t="s">
        <v>139</v>
      </c>
      <c r="H412" t="s">
        <v>799</v>
      </c>
      <c r="I412" t="str">
        <f>_xlfn.XLOOKUP(H412,'SO-DIMM-i5'!A:A,'SO-DIMM-i5'!B:B,_xlfn.XLOOKUP(H412,'SO-DIMM-i5'!H:H,'SO-DIMM-i5'!G:G,""))</f>
        <v/>
      </c>
    </row>
    <row r="413" spans="1:9" hidden="1" x14ac:dyDescent="0.25">
      <c r="A413">
        <v>0</v>
      </c>
      <c r="B413" t="s">
        <v>4</v>
      </c>
      <c r="C413" t="s">
        <v>139</v>
      </c>
      <c r="D413" t="s">
        <v>139</v>
      </c>
      <c r="E413" t="s">
        <v>139</v>
      </c>
      <c r="F413" t="s">
        <v>139</v>
      </c>
      <c r="G413" t="s">
        <v>139</v>
      </c>
      <c r="H413" t="s">
        <v>800</v>
      </c>
      <c r="I413" t="str">
        <f>_xlfn.XLOOKUP(H413,'SO-DIMM-i5'!A:A,'SO-DIMM-i5'!B:B,_xlfn.XLOOKUP(H413,'SO-DIMM-i5'!H:H,'SO-DIMM-i5'!G:G,""))</f>
        <v/>
      </c>
    </row>
    <row r="414" spans="1:9" hidden="1" x14ac:dyDescent="0.25">
      <c r="A414">
        <v>0</v>
      </c>
      <c r="B414" t="s">
        <v>4</v>
      </c>
      <c r="C414" t="s">
        <v>139</v>
      </c>
      <c r="D414" t="s">
        <v>139</v>
      </c>
      <c r="E414" t="s">
        <v>139</v>
      </c>
      <c r="F414" t="s">
        <v>139</v>
      </c>
      <c r="G414" t="s">
        <v>139</v>
      </c>
      <c r="H414" t="s">
        <v>801</v>
      </c>
      <c r="I414" t="str">
        <f>_xlfn.XLOOKUP(H414,'SO-DIMM-i5'!A:A,'SO-DIMM-i5'!B:B,_xlfn.XLOOKUP(H414,'SO-DIMM-i5'!H:H,'SO-DIMM-i5'!G:G,""))</f>
        <v/>
      </c>
    </row>
    <row r="415" spans="1:9" hidden="1" x14ac:dyDescent="0.25">
      <c r="A415">
        <v>0</v>
      </c>
      <c r="B415" t="s">
        <v>4</v>
      </c>
      <c r="C415" t="s">
        <v>139</v>
      </c>
      <c r="D415" t="s">
        <v>139</v>
      </c>
      <c r="E415" t="s">
        <v>139</v>
      </c>
      <c r="F415" t="s">
        <v>139</v>
      </c>
      <c r="G415" t="s">
        <v>139</v>
      </c>
      <c r="H415" t="s">
        <v>802</v>
      </c>
      <c r="I415" t="str">
        <f>_xlfn.XLOOKUP(H415,'SO-DIMM-i5'!A:A,'SO-DIMM-i5'!B:B,_xlfn.XLOOKUP(H415,'SO-DIMM-i5'!H:H,'SO-DIMM-i5'!G:G,""))</f>
        <v/>
      </c>
    </row>
    <row r="416" spans="1:9" hidden="1" x14ac:dyDescent="0.25">
      <c r="A416">
        <v>0</v>
      </c>
      <c r="B416" t="s">
        <v>4</v>
      </c>
      <c r="C416" t="s">
        <v>139</v>
      </c>
      <c r="D416" t="s">
        <v>139</v>
      </c>
      <c r="E416" t="s">
        <v>139</v>
      </c>
      <c r="F416" t="s">
        <v>139</v>
      </c>
      <c r="G416" t="s">
        <v>139</v>
      </c>
      <c r="H416" t="s">
        <v>803</v>
      </c>
      <c r="I416" t="str">
        <f>_xlfn.XLOOKUP(H416,'SO-DIMM-i5'!A:A,'SO-DIMM-i5'!B:B,_xlfn.XLOOKUP(H416,'SO-DIMM-i5'!H:H,'SO-DIMM-i5'!G:G,""))</f>
        <v/>
      </c>
    </row>
    <row r="417" spans="1:9" hidden="1" x14ac:dyDescent="0.25">
      <c r="A417">
        <v>0</v>
      </c>
      <c r="B417" t="s">
        <v>4</v>
      </c>
      <c r="C417" t="s">
        <v>139</v>
      </c>
      <c r="D417" t="s">
        <v>139</v>
      </c>
      <c r="E417" t="s">
        <v>139</v>
      </c>
      <c r="F417" t="s">
        <v>139</v>
      </c>
      <c r="G417" t="s">
        <v>139</v>
      </c>
      <c r="H417" t="s">
        <v>804</v>
      </c>
      <c r="I417" t="str">
        <f>_xlfn.XLOOKUP(H417,'SO-DIMM-i5'!A:A,'SO-DIMM-i5'!B:B,_xlfn.XLOOKUP(H417,'SO-DIMM-i5'!H:H,'SO-DIMM-i5'!G:G,""))</f>
        <v/>
      </c>
    </row>
    <row r="418" spans="1:9" hidden="1" x14ac:dyDescent="0.25">
      <c r="A418">
        <v>0</v>
      </c>
      <c r="B418" t="s">
        <v>4</v>
      </c>
      <c r="C418" t="s">
        <v>139</v>
      </c>
      <c r="D418" t="s">
        <v>139</v>
      </c>
      <c r="E418" t="s">
        <v>139</v>
      </c>
      <c r="F418" t="s">
        <v>139</v>
      </c>
      <c r="G418" t="s">
        <v>139</v>
      </c>
      <c r="H418" t="s">
        <v>805</v>
      </c>
      <c r="I418" t="str">
        <f>_xlfn.XLOOKUP(H418,'SO-DIMM-i5'!A:A,'SO-DIMM-i5'!B:B,_xlfn.XLOOKUP(H418,'SO-DIMM-i5'!H:H,'SO-DIMM-i5'!G:G,""))</f>
        <v/>
      </c>
    </row>
    <row r="419" spans="1:9" hidden="1" x14ac:dyDescent="0.25">
      <c r="A419">
        <v>0</v>
      </c>
      <c r="B419" t="s">
        <v>4</v>
      </c>
      <c r="C419" t="s">
        <v>139</v>
      </c>
      <c r="D419" t="s">
        <v>139</v>
      </c>
      <c r="E419" t="s">
        <v>139</v>
      </c>
      <c r="F419" t="s">
        <v>139</v>
      </c>
      <c r="G419" t="s">
        <v>139</v>
      </c>
      <c r="H419" t="s">
        <v>806</v>
      </c>
      <c r="I419" t="str">
        <f>_xlfn.XLOOKUP(H419,'SO-DIMM-i5'!A:A,'SO-DIMM-i5'!B:B,_xlfn.XLOOKUP(H419,'SO-DIMM-i5'!H:H,'SO-DIMM-i5'!G:G,""))</f>
        <v/>
      </c>
    </row>
    <row r="420" spans="1:9" hidden="1" x14ac:dyDescent="0.25">
      <c r="A420">
        <v>0</v>
      </c>
      <c r="B420" t="s">
        <v>4</v>
      </c>
      <c r="C420" t="s">
        <v>139</v>
      </c>
      <c r="D420" t="s">
        <v>139</v>
      </c>
      <c r="E420" t="s">
        <v>139</v>
      </c>
      <c r="F420" t="s">
        <v>139</v>
      </c>
      <c r="G420" t="s">
        <v>139</v>
      </c>
      <c r="H420" t="s">
        <v>807</v>
      </c>
      <c r="I420" t="str">
        <f>_xlfn.XLOOKUP(H420,'SO-DIMM-i5'!A:A,'SO-DIMM-i5'!B:B,_xlfn.XLOOKUP(H420,'SO-DIMM-i5'!H:H,'SO-DIMM-i5'!G:G,""))</f>
        <v/>
      </c>
    </row>
    <row r="421" spans="1:9" hidden="1" x14ac:dyDescent="0.25">
      <c r="A421">
        <v>0</v>
      </c>
      <c r="B421" t="s">
        <v>4</v>
      </c>
      <c r="C421" t="s">
        <v>139</v>
      </c>
      <c r="D421" t="s">
        <v>139</v>
      </c>
      <c r="E421" t="s">
        <v>139</v>
      </c>
      <c r="F421" t="s">
        <v>139</v>
      </c>
      <c r="G421" t="s">
        <v>139</v>
      </c>
      <c r="H421" t="s">
        <v>808</v>
      </c>
      <c r="I421" t="str">
        <f>_xlfn.XLOOKUP(H421,'SO-DIMM-i5'!A:A,'SO-DIMM-i5'!B:B,_xlfn.XLOOKUP(H421,'SO-DIMM-i5'!H:H,'SO-DIMM-i5'!G:G,""))</f>
        <v/>
      </c>
    </row>
    <row r="422" spans="1:9" hidden="1" x14ac:dyDescent="0.25">
      <c r="A422">
        <v>0</v>
      </c>
      <c r="B422" t="s">
        <v>4</v>
      </c>
      <c r="C422" t="s">
        <v>139</v>
      </c>
      <c r="D422" t="s">
        <v>139</v>
      </c>
      <c r="E422" t="s">
        <v>139</v>
      </c>
      <c r="F422" t="s">
        <v>139</v>
      </c>
      <c r="G422" t="s">
        <v>139</v>
      </c>
      <c r="H422" t="s">
        <v>809</v>
      </c>
      <c r="I422" t="str">
        <f>_xlfn.XLOOKUP(H422,'SO-DIMM-i5'!A:A,'SO-DIMM-i5'!B:B,_xlfn.XLOOKUP(H422,'SO-DIMM-i5'!H:H,'SO-DIMM-i5'!G:G,""))</f>
        <v/>
      </c>
    </row>
    <row r="423" spans="1:9" hidden="1" x14ac:dyDescent="0.25">
      <c r="A423">
        <v>0</v>
      </c>
      <c r="B423" t="s">
        <v>4</v>
      </c>
      <c r="C423" t="s">
        <v>139</v>
      </c>
      <c r="D423" t="s">
        <v>139</v>
      </c>
      <c r="E423" t="s">
        <v>139</v>
      </c>
      <c r="F423" t="s">
        <v>139</v>
      </c>
      <c r="G423" t="s">
        <v>139</v>
      </c>
      <c r="H423" t="s">
        <v>810</v>
      </c>
      <c r="I423" t="str">
        <f>_xlfn.XLOOKUP(H423,'SO-DIMM-i5'!A:A,'SO-DIMM-i5'!B:B,_xlfn.XLOOKUP(H423,'SO-DIMM-i5'!H:H,'SO-DIMM-i5'!G:G,""))</f>
        <v/>
      </c>
    </row>
    <row r="424" spans="1:9" hidden="1" x14ac:dyDescent="0.25">
      <c r="A424">
        <v>0</v>
      </c>
      <c r="B424" t="s">
        <v>4</v>
      </c>
      <c r="C424" t="s">
        <v>139</v>
      </c>
      <c r="D424" t="s">
        <v>139</v>
      </c>
      <c r="E424" t="s">
        <v>139</v>
      </c>
      <c r="F424" t="s">
        <v>139</v>
      </c>
      <c r="G424" t="s">
        <v>139</v>
      </c>
      <c r="H424" t="s">
        <v>811</v>
      </c>
      <c r="I424" t="str">
        <f>_xlfn.XLOOKUP(H424,'SO-DIMM-i5'!A:A,'SO-DIMM-i5'!B:B,_xlfn.XLOOKUP(H424,'SO-DIMM-i5'!H:H,'SO-DIMM-i5'!G:G,""))</f>
        <v/>
      </c>
    </row>
    <row r="425" spans="1:9" hidden="1" x14ac:dyDescent="0.25">
      <c r="A425">
        <v>0</v>
      </c>
      <c r="B425" t="s">
        <v>4</v>
      </c>
      <c r="C425" t="s">
        <v>139</v>
      </c>
      <c r="D425" t="s">
        <v>139</v>
      </c>
      <c r="E425" t="s">
        <v>139</v>
      </c>
      <c r="F425" t="s">
        <v>139</v>
      </c>
      <c r="G425" t="s">
        <v>139</v>
      </c>
      <c r="H425" t="s">
        <v>812</v>
      </c>
      <c r="I425" t="str">
        <f>_xlfn.XLOOKUP(H425,'SO-DIMM-i5'!A:A,'SO-DIMM-i5'!B:B,_xlfn.XLOOKUP(H425,'SO-DIMM-i5'!H:H,'SO-DIMM-i5'!G:G,""))</f>
        <v/>
      </c>
    </row>
    <row r="426" spans="1:9" hidden="1" x14ac:dyDescent="0.25">
      <c r="A426">
        <v>0</v>
      </c>
      <c r="B426" t="s">
        <v>4</v>
      </c>
      <c r="C426" t="s">
        <v>139</v>
      </c>
      <c r="D426" t="s">
        <v>139</v>
      </c>
      <c r="E426" t="s">
        <v>139</v>
      </c>
      <c r="F426" t="s">
        <v>139</v>
      </c>
      <c r="G426" t="s">
        <v>139</v>
      </c>
      <c r="H426" t="s">
        <v>813</v>
      </c>
      <c r="I426" t="str">
        <f>_xlfn.XLOOKUP(H426,'SO-DIMM-i5'!A:A,'SO-DIMM-i5'!B:B,_xlfn.XLOOKUP(H426,'SO-DIMM-i5'!H:H,'SO-DIMM-i5'!G:G,""))</f>
        <v/>
      </c>
    </row>
    <row r="427" spans="1:9" hidden="1" x14ac:dyDescent="0.25">
      <c r="A427">
        <v>0</v>
      </c>
      <c r="B427" t="s">
        <v>4</v>
      </c>
      <c r="C427" t="s">
        <v>139</v>
      </c>
      <c r="D427" t="s">
        <v>139</v>
      </c>
      <c r="E427" t="s">
        <v>139</v>
      </c>
      <c r="F427" t="s">
        <v>139</v>
      </c>
      <c r="G427" t="s">
        <v>139</v>
      </c>
      <c r="H427" t="s">
        <v>814</v>
      </c>
      <c r="I427" t="str">
        <f>_xlfn.XLOOKUP(H427,'SO-DIMM-i5'!A:A,'SO-DIMM-i5'!B:B,_xlfn.XLOOKUP(H427,'SO-DIMM-i5'!H:H,'SO-DIMM-i5'!G:G,""))</f>
        <v/>
      </c>
    </row>
    <row r="428" spans="1:9" hidden="1" x14ac:dyDescent="0.25">
      <c r="A428">
        <v>0</v>
      </c>
      <c r="B428" t="s">
        <v>4</v>
      </c>
      <c r="C428" t="s">
        <v>139</v>
      </c>
      <c r="D428" t="s">
        <v>139</v>
      </c>
      <c r="E428" t="s">
        <v>139</v>
      </c>
      <c r="F428" t="s">
        <v>139</v>
      </c>
      <c r="G428" t="s">
        <v>139</v>
      </c>
      <c r="H428" t="s">
        <v>815</v>
      </c>
      <c r="I428" t="str">
        <f>_xlfn.XLOOKUP(H428,'SO-DIMM-i5'!A:A,'SO-DIMM-i5'!B:B,_xlfn.XLOOKUP(H428,'SO-DIMM-i5'!H:H,'SO-DIMM-i5'!G:G,""))</f>
        <v/>
      </c>
    </row>
    <row r="429" spans="1:9" hidden="1" x14ac:dyDescent="0.25">
      <c r="A429">
        <v>0</v>
      </c>
      <c r="B429" t="s">
        <v>4</v>
      </c>
      <c r="C429" t="s">
        <v>139</v>
      </c>
      <c r="D429" t="s">
        <v>139</v>
      </c>
      <c r="E429" t="s">
        <v>139</v>
      </c>
      <c r="F429" t="s">
        <v>139</v>
      </c>
      <c r="G429" t="s">
        <v>139</v>
      </c>
      <c r="H429" t="s">
        <v>816</v>
      </c>
      <c r="I429" t="str">
        <f>_xlfn.XLOOKUP(H429,'SO-DIMM-i5'!A:A,'SO-DIMM-i5'!B:B,_xlfn.XLOOKUP(H429,'SO-DIMM-i5'!H:H,'SO-DIMM-i5'!G:G,""))</f>
        <v/>
      </c>
    </row>
    <row r="430" spans="1:9" hidden="1" x14ac:dyDescent="0.25">
      <c r="A430">
        <v>0</v>
      </c>
      <c r="B430" t="s">
        <v>4</v>
      </c>
      <c r="C430" t="s">
        <v>139</v>
      </c>
      <c r="D430" t="s">
        <v>139</v>
      </c>
      <c r="E430" t="s">
        <v>139</v>
      </c>
      <c r="F430" t="s">
        <v>139</v>
      </c>
      <c r="G430" t="s">
        <v>139</v>
      </c>
      <c r="H430" t="s">
        <v>817</v>
      </c>
      <c r="I430" t="str">
        <f>_xlfn.XLOOKUP(H430,'SO-DIMM-i5'!A:A,'SO-DIMM-i5'!B:B,_xlfn.XLOOKUP(H430,'SO-DIMM-i5'!H:H,'SO-DIMM-i5'!G:G,""))</f>
        <v/>
      </c>
    </row>
    <row r="431" spans="1:9" hidden="1" x14ac:dyDescent="0.25">
      <c r="A431">
        <v>0</v>
      </c>
      <c r="B431" t="s">
        <v>4</v>
      </c>
      <c r="C431" t="s">
        <v>139</v>
      </c>
      <c r="D431" t="s">
        <v>139</v>
      </c>
      <c r="E431" t="s">
        <v>139</v>
      </c>
      <c r="F431" t="s">
        <v>139</v>
      </c>
      <c r="G431" t="s">
        <v>139</v>
      </c>
      <c r="H431" t="s">
        <v>818</v>
      </c>
      <c r="I431" t="str">
        <f>_xlfn.XLOOKUP(H431,'SO-DIMM-i5'!A:A,'SO-DIMM-i5'!B:B,_xlfn.XLOOKUP(H431,'SO-DIMM-i5'!H:H,'SO-DIMM-i5'!G:G,""))</f>
        <v/>
      </c>
    </row>
    <row r="432" spans="1:9" hidden="1" x14ac:dyDescent="0.25">
      <c r="A432">
        <v>0</v>
      </c>
      <c r="B432" t="s">
        <v>4</v>
      </c>
      <c r="C432" t="s">
        <v>139</v>
      </c>
      <c r="D432" t="s">
        <v>139</v>
      </c>
      <c r="E432" t="s">
        <v>139</v>
      </c>
      <c r="F432" t="s">
        <v>139</v>
      </c>
      <c r="G432" t="s">
        <v>139</v>
      </c>
      <c r="H432" t="s">
        <v>819</v>
      </c>
      <c r="I432" t="str">
        <f>_xlfn.XLOOKUP(H432,'SO-DIMM-i5'!A:A,'SO-DIMM-i5'!B:B,_xlfn.XLOOKUP(H432,'SO-DIMM-i5'!H:H,'SO-DIMM-i5'!G:G,""))</f>
        <v/>
      </c>
    </row>
    <row r="433" spans="1:9" hidden="1" x14ac:dyDescent="0.25">
      <c r="A433">
        <v>0</v>
      </c>
      <c r="B433" t="s">
        <v>4</v>
      </c>
      <c r="C433" t="s">
        <v>139</v>
      </c>
      <c r="D433" t="s">
        <v>139</v>
      </c>
      <c r="E433" t="s">
        <v>139</v>
      </c>
      <c r="F433" t="s">
        <v>139</v>
      </c>
      <c r="G433" t="s">
        <v>139</v>
      </c>
      <c r="H433" t="s">
        <v>820</v>
      </c>
      <c r="I433" t="str">
        <f>_xlfn.XLOOKUP(H433,'SO-DIMM-i5'!A:A,'SO-DIMM-i5'!B:B,_xlfn.XLOOKUP(H433,'SO-DIMM-i5'!H:H,'SO-DIMM-i5'!G:G,""))</f>
        <v/>
      </c>
    </row>
    <row r="434" spans="1:9" hidden="1" x14ac:dyDescent="0.25">
      <c r="A434">
        <v>0</v>
      </c>
      <c r="B434" t="s">
        <v>4</v>
      </c>
      <c r="C434" t="s">
        <v>139</v>
      </c>
      <c r="D434" t="s">
        <v>139</v>
      </c>
      <c r="E434" t="s">
        <v>139</v>
      </c>
      <c r="F434" t="s">
        <v>139</v>
      </c>
      <c r="G434" t="s">
        <v>139</v>
      </c>
      <c r="H434" t="s">
        <v>139</v>
      </c>
      <c r="I434" t="str">
        <f>_xlfn.XLOOKUP(H434,'SO-DIMM-i5'!A:A,'SO-DIMM-i5'!B:B,_xlfn.XLOOKUP(H434,'SO-DIMM-i5'!H:H,'SO-DIMM-i5'!G:G,""))</f>
        <v/>
      </c>
    </row>
    <row r="435" spans="1:9" hidden="1" x14ac:dyDescent="0.25">
      <c r="A435">
        <v>0</v>
      </c>
      <c r="B435" t="s">
        <v>4</v>
      </c>
      <c r="C435" t="s">
        <v>139</v>
      </c>
      <c r="D435" t="s">
        <v>139</v>
      </c>
      <c r="E435" t="s">
        <v>139</v>
      </c>
      <c r="F435" t="s">
        <v>139</v>
      </c>
      <c r="G435" t="s">
        <v>139</v>
      </c>
      <c r="H435" t="s">
        <v>139</v>
      </c>
      <c r="I435" t="str">
        <f>_xlfn.XLOOKUP(H435,'SO-DIMM-i5'!A:A,'SO-DIMM-i5'!B:B,_xlfn.XLOOKUP(H435,'SO-DIMM-i5'!H:H,'SO-DIMM-i5'!G:G,""))</f>
        <v/>
      </c>
    </row>
    <row r="436" spans="1:9" hidden="1" x14ac:dyDescent="0.25">
      <c r="A436">
        <v>0</v>
      </c>
      <c r="B436" t="s">
        <v>4</v>
      </c>
      <c r="C436" t="s">
        <v>139</v>
      </c>
      <c r="D436" t="s">
        <v>139</v>
      </c>
      <c r="E436" t="s">
        <v>139</v>
      </c>
      <c r="F436" t="s">
        <v>139</v>
      </c>
      <c r="G436" t="s">
        <v>139</v>
      </c>
      <c r="H436" t="s">
        <v>139</v>
      </c>
      <c r="I436" t="str">
        <f>_xlfn.XLOOKUP(H436,'SO-DIMM-i5'!A:A,'SO-DIMM-i5'!B:B,_xlfn.XLOOKUP(H436,'SO-DIMM-i5'!H:H,'SO-DIMM-i5'!G:G,""))</f>
        <v/>
      </c>
    </row>
    <row r="437" spans="1:9" hidden="1" x14ac:dyDescent="0.25">
      <c r="A437">
        <v>0</v>
      </c>
      <c r="B437" t="s">
        <v>4</v>
      </c>
      <c r="C437" t="s">
        <v>139</v>
      </c>
      <c r="D437" t="s">
        <v>139</v>
      </c>
      <c r="E437" t="s">
        <v>139</v>
      </c>
      <c r="F437" t="s">
        <v>139</v>
      </c>
      <c r="G437" t="s">
        <v>139</v>
      </c>
      <c r="H437" t="s">
        <v>139</v>
      </c>
      <c r="I437" t="str">
        <f>_xlfn.XLOOKUP(H437,'SO-DIMM-i5'!A:A,'SO-DIMM-i5'!B:B,_xlfn.XLOOKUP(H437,'SO-DIMM-i5'!H:H,'SO-DIMM-i5'!G:G,""))</f>
        <v/>
      </c>
    </row>
    <row r="438" spans="1:9" hidden="1" x14ac:dyDescent="0.25">
      <c r="A438">
        <v>0</v>
      </c>
      <c r="B438" t="s">
        <v>4</v>
      </c>
      <c r="C438" t="s">
        <v>139</v>
      </c>
      <c r="D438" t="s">
        <v>139</v>
      </c>
      <c r="E438" t="s">
        <v>139</v>
      </c>
      <c r="F438" t="s">
        <v>139</v>
      </c>
      <c r="G438" t="s">
        <v>139</v>
      </c>
      <c r="H438" t="s">
        <v>139</v>
      </c>
      <c r="I438" t="str">
        <f>_xlfn.XLOOKUP(H438,'SO-DIMM-i5'!A:A,'SO-DIMM-i5'!B:B,_xlfn.XLOOKUP(H438,'SO-DIMM-i5'!H:H,'SO-DIMM-i5'!G:G,""))</f>
        <v/>
      </c>
    </row>
    <row r="439" spans="1:9" hidden="1" x14ac:dyDescent="0.25">
      <c r="A439">
        <v>0</v>
      </c>
      <c r="B439" t="s">
        <v>4</v>
      </c>
      <c r="C439" t="s">
        <v>139</v>
      </c>
      <c r="D439" t="s">
        <v>139</v>
      </c>
      <c r="E439" t="s">
        <v>139</v>
      </c>
      <c r="F439" t="s">
        <v>139</v>
      </c>
      <c r="G439" t="s">
        <v>139</v>
      </c>
      <c r="H439" t="s">
        <v>139</v>
      </c>
      <c r="I439" t="str">
        <f>_xlfn.XLOOKUP(H439,'SO-DIMM-i5'!A:A,'SO-DIMM-i5'!B:B,_xlfn.XLOOKUP(H439,'SO-DIMM-i5'!H:H,'SO-DIMM-i5'!G:G,""))</f>
        <v/>
      </c>
    </row>
    <row r="440" spans="1:9" hidden="1" x14ac:dyDescent="0.25">
      <c r="A440">
        <v>0</v>
      </c>
      <c r="B440" t="s">
        <v>4</v>
      </c>
      <c r="C440" t="s">
        <v>139</v>
      </c>
      <c r="D440" t="s">
        <v>139</v>
      </c>
      <c r="E440" t="s">
        <v>139</v>
      </c>
      <c r="F440" t="s">
        <v>139</v>
      </c>
      <c r="G440" t="s">
        <v>139</v>
      </c>
      <c r="H440" t="s">
        <v>139</v>
      </c>
      <c r="I440" t="str">
        <f>_xlfn.XLOOKUP(H440,'SO-DIMM-i5'!A:A,'SO-DIMM-i5'!B:B,_xlfn.XLOOKUP(H440,'SO-DIMM-i5'!H:H,'SO-DIMM-i5'!G:G,""))</f>
        <v/>
      </c>
    </row>
    <row r="441" spans="1:9" hidden="1" x14ac:dyDescent="0.25">
      <c r="A441">
        <v>0</v>
      </c>
      <c r="B441" t="s">
        <v>4</v>
      </c>
      <c r="C441" t="s">
        <v>139</v>
      </c>
      <c r="D441" t="s">
        <v>139</v>
      </c>
      <c r="E441" t="s">
        <v>139</v>
      </c>
      <c r="F441" t="s">
        <v>139</v>
      </c>
      <c r="G441" t="s">
        <v>139</v>
      </c>
      <c r="H441" t="s">
        <v>139</v>
      </c>
      <c r="I441" t="str">
        <f>_xlfn.XLOOKUP(H441,'SO-DIMM-i5'!A:A,'SO-DIMM-i5'!B:B,_xlfn.XLOOKUP(H441,'SO-DIMM-i5'!H:H,'SO-DIMM-i5'!G:G,""))</f>
        <v/>
      </c>
    </row>
    <row r="442" spans="1:9" hidden="1" x14ac:dyDescent="0.25">
      <c r="A442">
        <v>0</v>
      </c>
      <c r="B442" t="s">
        <v>4</v>
      </c>
      <c r="C442" t="s">
        <v>139</v>
      </c>
      <c r="D442" t="s">
        <v>139</v>
      </c>
      <c r="E442" t="s">
        <v>139</v>
      </c>
      <c r="F442" t="s">
        <v>139</v>
      </c>
      <c r="G442" t="s">
        <v>139</v>
      </c>
      <c r="H442" t="s">
        <v>139</v>
      </c>
      <c r="I442" t="str">
        <f>_xlfn.XLOOKUP(H442,'SO-DIMM-i5'!A:A,'SO-DIMM-i5'!B:B,_xlfn.XLOOKUP(H442,'SO-DIMM-i5'!H:H,'SO-DIMM-i5'!G:G,""))</f>
        <v/>
      </c>
    </row>
    <row r="443" spans="1:9" hidden="1" x14ac:dyDescent="0.25">
      <c r="A443">
        <v>0</v>
      </c>
      <c r="B443" t="s">
        <v>4</v>
      </c>
      <c r="C443" t="s">
        <v>139</v>
      </c>
      <c r="D443" t="s">
        <v>139</v>
      </c>
      <c r="E443" t="s">
        <v>139</v>
      </c>
      <c r="F443" t="s">
        <v>139</v>
      </c>
      <c r="G443" t="s">
        <v>139</v>
      </c>
      <c r="H443" t="s">
        <v>139</v>
      </c>
      <c r="I443" t="str">
        <f>_xlfn.XLOOKUP(H443,'SO-DIMM-i5'!A:A,'SO-DIMM-i5'!B:B,_xlfn.XLOOKUP(H443,'SO-DIMM-i5'!H:H,'SO-DIMM-i5'!G:G,""))</f>
        <v/>
      </c>
    </row>
    <row r="444" spans="1:9" hidden="1" x14ac:dyDescent="0.25">
      <c r="A444">
        <v>0</v>
      </c>
      <c r="B444" t="s">
        <v>4</v>
      </c>
      <c r="C444" t="s">
        <v>139</v>
      </c>
      <c r="D444" t="s">
        <v>139</v>
      </c>
      <c r="E444" t="s">
        <v>139</v>
      </c>
      <c r="F444" t="s">
        <v>139</v>
      </c>
      <c r="G444" t="s">
        <v>139</v>
      </c>
      <c r="H444" t="s">
        <v>139</v>
      </c>
      <c r="I444" t="str">
        <f>_xlfn.XLOOKUP(H444,'SO-DIMM-i5'!A:A,'SO-DIMM-i5'!B:B,_xlfn.XLOOKUP(H444,'SO-DIMM-i5'!H:H,'SO-DIMM-i5'!G:G,""))</f>
        <v/>
      </c>
    </row>
    <row r="445" spans="1:9" hidden="1" x14ac:dyDescent="0.25">
      <c r="A445">
        <v>0</v>
      </c>
      <c r="B445" t="s">
        <v>4</v>
      </c>
      <c r="C445" t="s">
        <v>139</v>
      </c>
      <c r="D445" t="s">
        <v>139</v>
      </c>
      <c r="E445" t="s">
        <v>139</v>
      </c>
      <c r="F445" t="s">
        <v>139</v>
      </c>
      <c r="G445" t="s">
        <v>139</v>
      </c>
      <c r="H445" t="s">
        <v>139</v>
      </c>
      <c r="I445" t="str">
        <f>_xlfn.XLOOKUP(H445,'SO-DIMM-i5'!A:A,'SO-DIMM-i5'!B:B,_xlfn.XLOOKUP(H445,'SO-DIMM-i5'!H:H,'SO-DIMM-i5'!G:G,""))</f>
        <v/>
      </c>
    </row>
    <row r="446" spans="1:9" hidden="1" x14ac:dyDescent="0.25">
      <c r="A446">
        <v>0</v>
      </c>
      <c r="B446" t="s">
        <v>4</v>
      </c>
      <c r="C446" t="s">
        <v>139</v>
      </c>
      <c r="D446" t="s">
        <v>139</v>
      </c>
      <c r="E446" t="s">
        <v>139</v>
      </c>
      <c r="F446" t="s">
        <v>139</v>
      </c>
      <c r="G446" t="s">
        <v>139</v>
      </c>
      <c r="H446" t="s">
        <v>139</v>
      </c>
      <c r="I446" t="str">
        <f>_xlfn.XLOOKUP(H446,'SO-DIMM-i5'!A:A,'SO-DIMM-i5'!B:B,_xlfn.XLOOKUP(H446,'SO-DIMM-i5'!H:H,'SO-DIMM-i5'!G:G,""))</f>
        <v/>
      </c>
    </row>
    <row r="447" spans="1:9" hidden="1" x14ac:dyDescent="0.25">
      <c r="A447">
        <v>0</v>
      </c>
      <c r="B447" t="s">
        <v>4</v>
      </c>
      <c r="C447" t="s">
        <v>139</v>
      </c>
      <c r="D447" t="s">
        <v>139</v>
      </c>
      <c r="E447" t="s">
        <v>139</v>
      </c>
      <c r="F447" t="s">
        <v>139</v>
      </c>
      <c r="G447" t="s">
        <v>139</v>
      </c>
      <c r="H447" t="s">
        <v>139</v>
      </c>
      <c r="I447" t="str">
        <f>_xlfn.XLOOKUP(H447,'SO-DIMM-i5'!A:A,'SO-DIMM-i5'!B:B,_xlfn.XLOOKUP(H447,'SO-DIMM-i5'!H:H,'SO-DIMM-i5'!G:G,""))</f>
        <v/>
      </c>
    </row>
    <row r="448" spans="1:9" hidden="1" x14ac:dyDescent="0.25">
      <c r="A448">
        <v>0</v>
      </c>
      <c r="B448" t="s">
        <v>4</v>
      </c>
      <c r="C448" t="s">
        <v>139</v>
      </c>
      <c r="D448" t="s">
        <v>139</v>
      </c>
      <c r="E448" t="s">
        <v>139</v>
      </c>
      <c r="F448" t="s">
        <v>139</v>
      </c>
      <c r="G448" t="s">
        <v>139</v>
      </c>
      <c r="H448" t="s">
        <v>139</v>
      </c>
      <c r="I448" t="str">
        <f>_xlfn.XLOOKUP(H448,'SO-DIMM-i5'!A:A,'SO-DIMM-i5'!B:B,_xlfn.XLOOKUP(H448,'SO-DIMM-i5'!H:H,'SO-DIMM-i5'!G:G,""))</f>
        <v/>
      </c>
    </row>
    <row r="449" spans="1:9" hidden="1" x14ac:dyDescent="0.25">
      <c r="A449">
        <v>0</v>
      </c>
      <c r="B449" t="s">
        <v>4</v>
      </c>
      <c r="C449" t="s">
        <v>139</v>
      </c>
      <c r="D449" t="s">
        <v>139</v>
      </c>
      <c r="E449" t="s">
        <v>139</v>
      </c>
      <c r="F449" t="s">
        <v>139</v>
      </c>
      <c r="G449" t="s">
        <v>139</v>
      </c>
      <c r="H449" t="s">
        <v>139</v>
      </c>
      <c r="I449" t="str">
        <f>_xlfn.XLOOKUP(H449,'SO-DIMM-i5'!A:A,'SO-DIMM-i5'!B:B,_xlfn.XLOOKUP(H449,'SO-DIMM-i5'!H:H,'SO-DIMM-i5'!G:G,""))</f>
        <v/>
      </c>
    </row>
    <row r="450" spans="1:9" hidden="1" x14ac:dyDescent="0.25">
      <c r="A450">
        <v>0</v>
      </c>
      <c r="B450" t="s">
        <v>4</v>
      </c>
      <c r="C450" t="s">
        <v>139</v>
      </c>
      <c r="D450" t="s">
        <v>139</v>
      </c>
      <c r="E450" t="s">
        <v>139</v>
      </c>
      <c r="F450" t="s">
        <v>139</v>
      </c>
      <c r="G450" t="s">
        <v>139</v>
      </c>
      <c r="H450" t="s">
        <v>139</v>
      </c>
      <c r="I450" t="str">
        <f>_xlfn.XLOOKUP(H450,'SO-DIMM-i5'!A:A,'SO-DIMM-i5'!B:B,_xlfn.XLOOKUP(H450,'SO-DIMM-i5'!H:H,'SO-DIMM-i5'!G:G,""))</f>
        <v/>
      </c>
    </row>
    <row r="451" spans="1:9" hidden="1" x14ac:dyDescent="0.25">
      <c r="A451">
        <v>0</v>
      </c>
      <c r="B451" t="s">
        <v>4</v>
      </c>
      <c r="C451" t="s">
        <v>139</v>
      </c>
      <c r="D451" t="s">
        <v>139</v>
      </c>
      <c r="E451" t="s">
        <v>139</v>
      </c>
      <c r="F451" t="s">
        <v>139</v>
      </c>
      <c r="G451" t="s">
        <v>139</v>
      </c>
      <c r="H451" t="s">
        <v>139</v>
      </c>
      <c r="I451" t="str">
        <f>_xlfn.XLOOKUP(H451,'SO-DIMM-i5'!A:A,'SO-DIMM-i5'!B:B,_xlfn.XLOOKUP(H451,'SO-DIMM-i5'!H:H,'SO-DIMM-i5'!G:G,""))</f>
        <v/>
      </c>
    </row>
    <row r="452" spans="1:9" hidden="1" x14ac:dyDescent="0.25">
      <c r="A452">
        <v>0</v>
      </c>
      <c r="B452" t="s">
        <v>4</v>
      </c>
      <c r="C452" t="s">
        <v>139</v>
      </c>
      <c r="D452" t="s">
        <v>139</v>
      </c>
      <c r="E452" t="s">
        <v>139</v>
      </c>
      <c r="F452" t="s">
        <v>139</v>
      </c>
      <c r="G452" t="s">
        <v>139</v>
      </c>
      <c r="H452" t="s">
        <v>139</v>
      </c>
      <c r="I452" t="str">
        <f>_xlfn.XLOOKUP(H452,'SO-DIMM-i5'!A:A,'SO-DIMM-i5'!B:B,_xlfn.XLOOKUP(H452,'SO-DIMM-i5'!H:H,'SO-DIMM-i5'!G:G,""))</f>
        <v/>
      </c>
    </row>
    <row r="453" spans="1:9" hidden="1" x14ac:dyDescent="0.25">
      <c r="A453">
        <v>0</v>
      </c>
      <c r="B453" t="s">
        <v>4</v>
      </c>
      <c r="C453" t="s">
        <v>139</v>
      </c>
      <c r="D453" t="s">
        <v>139</v>
      </c>
      <c r="E453" t="s">
        <v>139</v>
      </c>
      <c r="F453" t="s">
        <v>139</v>
      </c>
      <c r="G453" t="s">
        <v>139</v>
      </c>
      <c r="H453" t="s">
        <v>139</v>
      </c>
      <c r="I453" t="str">
        <f>_xlfn.XLOOKUP(H453,'SO-DIMM-i5'!A:A,'SO-DIMM-i5'!B:B,_xlfn.XLOOKUP(H453,'SO-DIMM-i5'!H:H,'SO-DIMM-i5'!G:G,""))</f>
        <v/>
      </c>
    </row>
    <row r="454" spans="1:9" hidden="1" x14ac:dyDescent="0.25">
      <c r="A454">
        <v>0</v>
      </c>
      <c r="B454" t="s">
        <v>4</v>
      </c>
      <c r="C454" t="s">
        <v>139</v>
      </c>
      <c r="D454" t="s">
        <v>139</v>
      </c>
      <c r="E454" t="s">
        <v>139</v>
      </c>
      <c r="F454" t="s">
        <v>139</v>
      </c>
      <c r="G454" t="s">
        <v>139</v>
      </c>
      <c r="H454" t="s">
        <v>139</v>
      </c>
      <c r="I454" t="str">
        <f>_xlfn.XLOOKUP(H454,'SO-DIMM-i5'!A:A,'SO-DIMM-i5'!B:B,_xlfn.XLOOKUP(H454,'SO-DIMM-i5'!H:H,'SO-DIMM-i5'!G:G,""))</f>
        <v/>
      </c>
    </row>
    <row r="455" spans="1:9" hidden="1" x14ac:dyDescent="0.25">
      <c r="A455">
        <v>0</v>
      </c>
      <c r="B455" t="s">
        <v>4</v>
      </c>
      <c r="C455" t="s">
        <v>139</v>
      </c>
      <c r="D455" t="s">
        <v>139</v>
      </c>
      <c r="E455" t="s">
        <v>139</v>
      </c>
      <c r="F455" t="s">
        <v>139</v>
      </c>
      <c r="G455" t="s">
        <v>139</v>
      </c>
      <c r="H455" t="s">
        <v>139</v>
      </c>
      <c r="I455" t="str">
        <f>_xlfn.XLOOKUP(H455,'SO-DIMM-i5'!A:A,'SO-DIMM-i5'!B:B,_xlfn.XLOOKUP(H455,'SO-DIMM-i5'!H:H,'SO-DIMM-i5'!G:G,""))</f>
        <v/>
      </c>
    </row>
    <row r="456" spans="1:9" hidden="1" x14ac:dyDescent="0.25">
      <c r="A456">
        <v>0</v>
      </c>
      <c r="B456" t="s">
        <v>4</v>
      </c>
      <c r="C456" t="s">
        <v>139</v>
      </c>
      <c r="D456" t="s">
        <v>139</v>
      </c>
      <c r="E456" t="s">
        <v>139</v>
      </c>
      <c r="F456" t="s">
        <v>139</v>
      </c>
      <c r="G456" t="s">
        <v>139</v>
      </c>
      <c r="H456" t="s">
        <v>139</v>
      </c>
      <c r="I456" t="str">
        <f>_xlfn.XLOOKUP(H456,'SO-DIMM-i5'!A:A,'SO-DIMM-i5'!B:B,_xlfn.XLOOKUP(H456,'SO-DIMM-i5'!H:H,'SO-DIMM-i5'!G:G,""))</f>
        <v/>
      </c>
    </row>
    <row r="457" spans="1:9" hidden="1" x14ac:dyDescent="0.25">
      <c r="A457">
        <v>0</v>
      </c>
      <c r="B457" t="s">
        <v>4</v>
      </c>
      <c r="C457" t="s">
        <v>139</v>
      </c>
      <c r="D457" t="s">
        <v>139</v>
      </c>
      <c r="E457" t="s">
        <v>139</v>
      </c>
      <c r="F457" t="s">
        <v>139</v>
      </c>
      <c r="G457" t="s">
        <v>139</v>
      </c>
      <c r="H457" t="s">
        <v>139</v>
      </c>
      <c r="I457" t="str">
        <f>_xlfn.XLOOKUP(H457,'SO-DIMM-i5'!A:A,'SO-DIMM-i5'!B:B,_xlfn.XLOOKUP(H457,'SO-DIMM-i5'!H:H,'SO-DIMM-i5'!G:G,""))</f>
        <v/>
      </c>
    </row>
    <row r="458" spans="1:9" hidden="1" x14ac:dyDescent="0.25">
      <c r="A458">
        <v>0</v>
      </c>
      <c r="B458" t="s">
        <v>4</v>
      </c>
      <c r="C458" t="s">
        <v>139</v>
      </c>
      <c r="D458" t="s">
        <v>139</v>
      </c>
      <c r="E458" t="s">
        <v>139</v>
      </c>
      <c r="F458" t="s">
        <v>139</v>
      </c>
      <c r="G458" t="s">
        <v>139</v>
      </c>
      <c r="H458" t="s">
        <v>139</v>
      </c>
      <c r="I458" t="str">
        <f>_xlfn.XLOOKUP(H458,'SO-DIMM-i5'!A:A,'SO-DIMM-i5'!B:B,_xlfn.XLOOKUP(H458,'SO-DIMM-i5'!H:H,'SO-DIMM-i5'!G:G,""))</f>
        <v/>
      </c>
    </row>
    <row r="459" spans="1:9" hidden="1" x14ac:dyDescent="0.25">
      <c r="A459">
        <v>0</v>
      </c>
      <c r="B459" t="s">
        <v>4</v>
      </c>
      <c r="C459" t="s">
        <v>139</v>
      </c>
      <c r="D459" t="s">
        <v>139</v>
      </c>
      <c r="E459" t="s">
        <v>139</v>
      </c>
      <c r="F459" t="s">
        <v>139</v>
      </c>
      <c r="G459" t="s">
        <v>139</v>
      </c>
      <c r="H459" t="s">
        <v>139</v>
      </c>
      <c r="I459" t="str">
        <f>_xlfn.XLOOKUP(H459,'SO-DIMM-i5'!A:A,'SO-DIMM-i5'!B:B,_xlfn.XLOOKUP(H459,'SO-DIMM-i5'!H:H,'SO-DIMM-i5'!G:G,""))</f>
        <v/>
      </c>
    </row>
    <row r="460" spans="1:9" hidden="1" x14ac:dyDescent="0.25">
      <c r="A460">
        <v>0</v>
      </c>
      <c r="B460" t="s">
        <v>4</v>
      </c>
      <c r="C460" t="s">
        <v>139</v>
      </c>
      <c r="D460" t="s">
        <v>139</v>
      </c>
      <c r="E460" t="s">
        <v>139</v>
      </c>
      <c r="F460" t="s">
        <v>139</v>
      </c>
      <c r="G460" t="s">
        <v>139</v>
      </c>
      <c r="H460" t="s">
        <v>139</v>
      </c>
      <c r="I460" t="str">
        <f>_xlfn.XLOOKUP(H460,'SO-DIMM-i5'!A:A,'SO-DIMM-i5'!B:B,_xlfn.XLOOKUP(H460,'SO-DIMM-i5'!H:H,'SO-DIMM-i5'!G:G,""))</f>
        <v/>
      </c>
    </row>
    <row r="461" spans="1:9" hidden="1" x14ac:dyDescent="0.25">
      <c r="A461">
        <v>0</v>
      </c>
      <c r="B461" t="s">
        <v>4</v>
      </c>
      <c r="C461" t="s">
        <v>139</v>
      </c>
      <c r="D461" t="s">
        <v>139</v>
      </c>
      <c r="E461" t="s">
        <v>139</v>
      </c>
      <c r="F461" t="s">
        <v>139</v>
      </c>
      <c r="G461" t="s">
        <v>139</v>
      </c>
      <c r="H461" t="s">
        <v>139</v>
      </c>
      <c r="I461" t="str">
        <f>_xlfn.XLOOKUP(H461,'SO-DIMM-i5'!A:A,'SO-DIMM-i5'!B:B,_xlfn.XLOOKUP(H461,'SO-DIMM-i5'!H:H,'SO-DIMM-i5'!G:G,""))</f>
        <v/>
      </c>
    </row>
    <row r="462" spans="1:9" hidden="1" x14ac:dyDescent="0.25">
      <c r="A462">
        <v>0</v>
      </c>
      <c r="B462" t="s">
        <v>4</v>
      </c>
      <c r="C462" t="s">
        <v>139</v>
      </c>
      <c r="D462" t="s">
        <v>139</v>
      </c>
      <c r="E462" t="s">
        <v>139</v>
      </c>
      <c r="F462" t="s">
        <v>139</v>
      </c>
      <c r="G462" t="s">
        <v>139</v>
      </c>
      <c r="H462" t="s">
        <v>139</v>
      </c>
      <c r="I462" t="str">
        <f>_xlfn.XLOOKUP(H462,'SO-DIMM-i5'!A:A,'SO-DIMM-i5'!B:B,_xlfn.XLOOKUP(H462,'SO-DIMM-i5'!H:H,'SO-DIMM-i5'!G:G,""))</f>
        <v/>
      </c>
    </row>
    <row r="463" spans="1:9" hidden="1" x14ac:dyDescent="0.25">
      <c r="A463">
        <v>0</v>
      </c>
      <c r="B463" t="s">
        <v>4</v>
      </c>
      <c r="C463" t="s">
        <v>139</v>
      </c>
      <c r="D463" t="s">
        <v>139</v>
      </c>
      <c r="E463" t="s">
        <v>139</v>
      </c>
      <c r="F463" t="s">
        <v>139</v>
      </c>
      <c r="G463" t="s">
        <v>139</v>
      </c>
      <c r="H463" t="s">
        <v>139</v>
      </c>
      <c r="I463" t="str">
        <f>_xlfn.XLOOKUP(H463,'SO-DIMM-i5'!A:A,'SO-DIMM-i5'!B:B,_xlfn.XLOOKUP(H463,'SO-DIMM-i5'!H:H,'SO-DIMM-i5'!G:G,""))</f>
        <v/>
      </c>
    </row>
    <row r="464" spans="1:9" hidden="1" x14ac:dyDescent="0.25">
      <c r="A464">
        <v>0</v>
      </c>
      <c r="B464" t="s">
        <v>4</v>
      </c>
      <c r="C464" t="s">
        <v>139</v>
      </c>
      <c r="D464" t="s">
        <v>139</v>
      </c>
      <c r="E464" t="s">
        <v>139</v>
      </c>
      <c r="F464" t="s">
        <v>139</v>
      </c>
      <c r="G464" t="s">
        <v>139</v>
      </c>
      <c r="H464" t="s">
        <v>139</v>
      </c>
      <c r="I464" t="str">
        <f>_xlfn.XLOOKUP(H464,'SO-DIMM-i5'!A:A,'SO-DIMM-i5'!B:B,_xlfn.XLOOKUP(H464,'SO-DIMM-i5'!H:H,'SO-DIMM-i5'!G:G,""))</f>
        <v/>
      </c>
    </row>
    <row r="465" spans="1:9" hidden="1" x14ac:dyDescent="0.25">
      <c r="A465">
        <v>0</v>
      </c>
      <c r="B465" t="s">
        <v>4</v>
      </c>
      <c r="C465" t="s">
        <v>139</v>
      </c>
      <c r="D465" t="s">
        <v>139</v>
      </c>
      <c r="E465" t="s">
        <v>139</v>
      </c>
      <c r="F465" t="s">
        <v>139</v>
      </c>
      <c r="G465" t="s">
        <v>139</v>
      </c>
      <c r="H465" t="s">
        <v>139</v>
      </c>
      <c r="I465" t="str">
        <f>_xlfn.XLOOKUP(H465,'SO-DIMM-i5'!A:A,'SO-DIMM-i5'!B:B,_xlfn.XLOOKUP(H465,'SO-DIMM-i5'!H:H,'SO-DIMM-i5'!G:G,""))</f>
        <v/>
      </c>
    </row>
    <row r="466" spans="1:9" hidden="1" x14ac:dyDescent="0.25">
      <c r="A466">
        <v>0</v>
      </c>
      <c r="B466" t="s">
        <v>4</v>
      </c>
      <c r="C466" t="s">
        <v>139</v>
      </c>
      <c r="D466" t="s">
        <v>139</v>
      </c>
      <c r="E466" t="s">
        <v>139</v>
      </c>
      <c r="F466" t="s">
        <v>139</v>
      </c>
      <c r="G466" t="s">
        <v>139</v>
      </c>
      <c r="H466" t="s">
        <v>139</v>
      </c>
      <c r="I466" t="str">
        <f>_xlfn.XLOOKUP(H466,'SO-DIMM-i5'!A:A,'SO-DIMM-i5'!B:B,_xlfn.XLOOKUP(H466,'SO-DIMM-i5'!H:H,'SO-DIMM-i5'!G:G,""))</f>
        <v/>
      </c>
    </row>
    <row r="467" spans="1:9" hidden="1" x14ac:dyDescent="0.25">
      <c r="A467">
        <v>0</v>
      </c>
      <c r="B467" t="s">
        <v>4</v>
      </c>
      <c r="C467" t="s">
        <v>139</v>
      </c>
      <c r="D467" t="s">
        <v>139</v>
      </c>
      <c r="E467" t="s">
        <v>139</v>
      </c>
      <c r="F467" t="s">
        <v>139</v>
      </c>
      <c r="G467" t="s">
        <v>139</v>
      </c>
      <c r="H467" t="s">
        <v>139</v>
      </c>
      <c r="I467" t="str">
        <f>_xlfn.XLOOKUP(H467,'SO-DIMM-i5'!A:A,'SO-DIMM-i5'!B:B,_xlfn.XLOOKUP(H467,'SO-DIMM-i5'!H:H,'SO-DIMM-i5'!G:G,""))</f>
        <v/>
      </c>
    </row>
    <row r="468" spans="1:9" hidden="1" x14ac:dyDescent="0.25">
      <c r="A468">
        <v>0</v>
      </c>
      <c r="B468" t="s">
        <v>4</v>
      </c>
      <c r="C468" t="s">
        <v>139</v>
      </c>
      <c r="D468" t="s">
        <v>139</v>
      </c>
      <c r="E468" t="s">
        <v>139</v>
      </c>
      <c r="F468" t="s">
        <v>139</v>
      </c>
      <c r="G468" t="s">
        <v>139</v>
      </c>
      <c r="H468" t="s">
        <v>139</v>
      </c>
      <c r="I468" t="str">
        <f>_xlfn.XLOOKUP(H468,'SO-DIMM-i5'!A:A,'SO-DIMM-i5'!B:B,_xlfn.XLOOKUP(H468,'SO-DIMM-i5'!H:H,'SO-DIMM-i5'!G:G,""))</f>
        <v/>
      </c>
    </row>
    <row r="469" spans="1:9" hidden="1" x14ac:dyDescent="0.25">
      <c r="A469">
        <v>0</v>
      </c>
      <c r="B469" t="s">
        <v>4</v>
      </c>
      <c r="C469" t="s">
        <v>139</v>
      </c>
      <c r="D469" t="s">
        <v>139</v>
      </c>
      <c r="E469" t="s">
        <v>139</v>
      </c>
      <c r="F469" t="s">
        <v>139</v>
      </c>
      <c r="G469" t="s">
        <v>139</v>
      </c>
      <c r="H469" t="s">
        <v>139</v>
      </c>
      <c r="I469" t="str">
        <f>_xlfn.XLOOKUP(H469,'SO-DIMM-i5'!A:A,'SO-DIMM-i5'!B:B,_xlfn.XLOOKUP(H469,'SO-DIMM-i5'!H:H,'SO-DIMM-i5'!G:G,""))</f>
        <v/>
      </c>
    </row>
    <row r="470" spans="1:9" hidden="1" x14ac:dyDescent="0.25">
      <c r="A470">
        <v>0</v>
      </c>
      <c r="B470" t="s">
        <v>4</v>
      </c>
      <c r="C470" t="s">
        <v>139</v>
      </c>
      <c r="D470" t="s">
        <v>139</v>
      </c>
      <c r="E470" t="s">
        <v>139</v>
      </c>
      <c r="F470" t="s">
        <v>139</v>
      </c>
      <c r="G470" t="s">
        <v>139</v>
      </c>
      <c r="H470" t="s">
        <v>139</v>
      </c>
      <c r="I470" t="str">
        <f>_xlfn.XLOOKUP(H470,'SO-DIMM-i5'!A:A,'SO-DIMM-i5'!B:B,_xlfn.XLOOKUP(H470,'SO-DIMM-i5'!H:H,'SO-DIMM-i5'!G:G,""))</f>
        <v/>
      </c>
    </row>
    <row r="471" spans="1:9" hidden="1" x14ac:dyDescent="0.25">
      <c r="A471">
        <v>0</v>
      </c>
      <c r="B471" t="s">
        <v>4</v>
      </c>
      <c r="C471" t="s">
        <v>139</v>
      </c>
      <c r="D471" t="s">
        <v>139</v>
      </c>
      <c r="E471" t="s">
        <v>139</v>
      </c>
      <c r="F471" t="s">
        <v>139</v>
      </c>
      <c r="G471" t="s">
        <v>139</v>
      </c>
      <c r="H471" t="s">
        <v>139</v>
      </c>
      <c r="I471" t="str">
        <f>_xlfn.XLOOKUP(H471,'SO-DIMM-i5'!A:A,'SO-DIMM-i5'!B:B,_xlfn.XLOOKUP(H471,'SO-DIMM-i5'!H:H,'SO-DIMM-i5'!G:G,""))</f>
        <v/>
      </c>
    </row>
    <row r="472" spans="1:9" hidden="1" x14ac:dyDescent="0.25">
      <c r="A472">
        <v>0</v>
      </c>
      <c r="B472" t="s">
        <v>4</v>
      </c>
      <c r="C472" t="s">
        <v>139</v>
      </c>
      <c r="D472" t="s">
        <v>139</v>
      </c>
      <c r="E472" t="s">
        <v>139</v>
      </c>
      <c r="F472" t="s">
        <v>139</v>
      </c>
      <c r="G472" t="s">
        <v>139</v>
      </c>
      <c r="H472" t="s">
        <v>139</v>
      </c>
      <c r="I472" t="str">
        <f>_xlfn.XLOOKUP(H472,'SO-DIMM-i5'!A:A,'SO-DIMM-i5'!B:B,_xlfn.XLOOKUP(H472,'SO-DIMM-i5'!H:H,'SO-DIMM-i5'!G:G,""))</f>
        <v/>
      </c>
    </row>
    <row r="473" spans="1:9" hidden="1" x14ac:dyDescent="0.25">
      <c r="A473">
        <v>0</v>
      </c>
      <c r="B473" t="s">
        <v>4</v>
      </c>
      <c r="C473" t="s">
        <v>139</v>
      </c>
      <c r="D473" t="s">
        <v>139</v>
      </c>
      <c r="E473" t="s">
        <v>139</v>
      </c>
      <c r="F473" t="s">
        <v>139</v>
      </c>
      <c r="G473" t="s">
        <v>139</v>
      </c>
      <c r="H473" t="s">
        <v>139</v>
      </c>
      <c r="I473" t="str">
        <f>_xlfn.XLOOKUP(H473,'SO-DIMM-i5'!A:A,'SO-DIMM-i5'!B:B,_xlfn.XLOOKUP(H473,'SO-DIMM-i5'!H:H,'SO-DIMM-i5'!G:G,""))</f>
        <v/>
      </c>
    </row>
    <row r="474" spans="1:9" hidden="1" x14ac:dyDescent="0.25">
      <c r="A474">
        <v>0</v>
      </c>
      <c r="B474" t="s">
        <v>4</v>
      </c>
      <c r="C474" t="s">
        <v>139</v>
      </c>
      <c r="D474" t="s">
        <v>139</v>
      </c>
      <c r="E474" t="s">
        <v>139</v>
      </c>
      <c r="F474" t="s">
        <v>139</v>
      </c>
      <c r="G474" t="s">
        <v>139</v>
      </c>
      <c r="H474" t="s">
        <v>139</v>
      </c>
      <c r="I474" t="str">
        <f>_xlfn.XLOOKUP(H474,'SO-DIMM-i5'!A:A,'SO-DIMM-i5'!B:B,_xlfn.XLOOKUP(H474,'SO-DIMM-i5'!H:H,'SO-DIMM-i5'!G:G,""))</f>
        <v/>
      </c>
    </row>
    <row r="475" spans="1:9" hidden="1" x14ac:dyDescent="0.25">
      <c r="A475">
        <v>0</v>
      </c>
      <c r="B475" t="s">
        <v>4</v>
      </c>
      <c r="C475" t="s">
        <v>139</v>
      </c>
      <c r="D475" t="s">
        <v>139</v>
      </c>
      <c r="E475" t="s">
        <v>139</v>
      </c>
      <c r="F475" t="s">
        <v>139</v>
      </c>
      <c r="G475" t="s">
        <v>139</v>
      </c>
      <c r="H475" t="s">
        <v>139</v>
      </c>
      <c r="I475" t="str">
        <f>_xlfn.XLOOKUP(H475,'SO-DIMM-i5'!A:A,'SO-DIMM-i5'!B:B,_xlfn.XLOOKUP(H475,'SO-DIMM-i5'!H:H,'SO-DIMM-i5'!G:G,""))</f>
        <v/>
      </c>
    </row>
    <row r="476" spans="1:9" hidden="1" x14ac:dyDescent="0.25">
      <c r="A476">
        <v>0</v>
      </c>
      <c r="B476" t="s">
        <v>4</v>
      </c>
      <c r="C476" t="s">
        <v>139</v>
      </c>
      <c r="D476" t="s">
        <v>139</v>
      </c>
      <c r="E476" t="s">
        <v>139</v>
      </c>
      <c r="F476" t="s">
        <v>139</v>
      </c>
      <c r="G476" t="s">
        <v>139</v>
      </c>
      <c r="H476" t="s">
        <v>139</v>
      </c>
      <c r="I476" t="str">
        <f>_xlfn.XLOOKUP(H476,'SO-DIMM-i5'!A:A,'SO-DIMM-i5'!B:B,_xlfn.XLOOKUP(H476,'SO-DIMM-i5'!H:H,'SO-DIMM-i5'!G:G,""))</f>
        <v/>
      </c>
    </row>
    <row r="477" spans="1:9" hidden="1" x14ac:dyDescent="0.25">
      <c r="A477">
        <v>0</v>
      </c>
      <c r="B477" t="s">
        <v>4</v>
      </c>
      <c r="C477" t="s">
        <v>139</v>
      </c>
      <c r="D477" t="s">
        <v>139</v>
      </c>
      <c r="E477" t="s">
        <v>139</v>
      </c>
      <c r="F477" t="s">
        <v>139</v>
      </c>
      <c r="G477" t="s">
        <v>139</v>
      </c>
      <c r="H477" t="s">
        <v>139</v>
      </c>
      <c r="I477" t="str">
        <f>_xlfn.XLOOKUP(H477,'SO-DIMM-i5'!A:A,'SO-DIMM-i5'!B:B,_xlfn.XLOOKUP(H477,'SO-DIMM-i5'!H:H,'SO-DIMM-i5'!G:G,""))</f>
        <v/>
      </c>
    </row>
    <row r="478" spans="1:9" hidden="1" x14ac:dyDescent="0.25">
      <c r="A478">
        <v>0</v>
      </c>
      <c r="B478" t="s">
        <v>4</v>
      </c>
      <c r="C478" t="s">
        <v>139</v>
      </c>
      <c r="D478" t="s">
        <v>139</v>
      </c>
      <c r="E478" t="s">
        <v>139</v>
      </c>
      <c r="F478" t="s">
        <v>139</v>
      </c>
      <c r="G478" t="s">
        <v>139</v>
      </c>
      <c r="H478" t="s">
        <v>139</v>
      </c>
      <c r="I478" t="str">
        <f>_xlfn.XLOOKUP(H478,'SO-DIMM-i5'!A:A,'SO-DIMM-i5'!B:B,_xlfn.XLOOKUP(H478,'SO-DIMM-i5'!H:H,'SO-DIMM-i5'!G:G,""))</f>
        <v/>
      </c>
    </row>
    <row r="479" spans="1:9" hidden="1" x14ac:dyDescent="0.25">
      <c r="A479">
        <v>0</v>
      </c>
      <c r="B479" t="s">
        <v>4</v>
      </c>
      <c r="C479" t="s">
        <v>139</v>
      </c>
      <c r="D479" t="s">
        <v>139</v>
      </c>
      <c r="E479" t="s">
        <v>139</v>
      </c>
      <c r="F479" t="s">
        <v>139</v>
      </c>
      <c r="G479" t="s">
        <v>139</v>
      </c>
      <c r="H479" t="s">
        <v>139</v>
      </c>
      <c r="I479" t="str">
        <f>_xlfn.XLOOKUP(H479,'SO-DIMM-i5'!A:A,'SO-DIMM-i5'!B:B,_xlfn.XLOOKUP(H479,'SO-DIMM-i5'!H:H,'SO-DIMM-i5'!G:G,""))</f>
        <v/>
      </c>
    </row>
    <row r="480" spans="1:9" hidden="1" x14ac:dyDescent="0.25">
      <c r="A480">
        <v>0</v>
      </c>
      <c r="B480" t="s">
        <v>4</v>
      </c>
      <c r="C480" t="s">
        <v>139</v>
      </c>
      <c r="D480" t="s">
        <v>139</v>
      </c>
      <c r="E480" t="s">
        <v>139</v>
      </c>
      <c r="F480" t="s">
        <v>139</v>
      </c>
      <c r="G480" t="s">
        <v>139</v>
      </c>
      <c r="H480" t="s">
        <v>139</v>
      </c>
      <c r="I480" t="str">
        <f>_xlfn.XLOOKUP(H480,'SO-DIMM-i5'!A:A,'SO-DIMM-i5'!B:B,_xlfn.XLOOKUP(H480,'SO-DIMM-i5'!H:H,'SO-DIMM-i5'!G:G,""))</f>
        <v/>
      </c>
    </row>
    <row r="481" spans="1:9" hidden="1" x14ac:dyDescent="0.25">
      <c r="A481">
        <v>0</v>
      </c>
      <c r="B481" t="s">
        <v>4</v>
      </c>
      <c r="C481" t="s">
        <v>139</v>
      </c>
      <c r="D481" t="s">
        <v>139</v>
      </c>
      <c r="E481" t="s">
        <v>139</v>
      </c>
      <c r="F481" t="s">
        <v>139</v>
      </c>
      <c r="G481" t="s">
        <v>139</v>
      </c>
      <c r="H481" t="s">
        <v>139</v>
      </c>
      <c r="I481" t="str">
        <f>_xlfn.XLOOKUP(H481,'SO-DIMM-i5'!A:A,'SO-DIMM-i5'!B:B,_xlfn.XLOOKUP(H481,'SO-DIMM-i5'!H:H,'SO-DIMM-i5'!G:G,""))</f>
        <v/>
      </c>
    </row>
    <row r="482" spans="1:9" hidden="1" x14ac:dyDescent="0.25">
      <c r="A482">
        <v>0</v>
      </c>
      <c r="B482" t="s">
        <v>4</v>
      </c>
      <c r="C482" t="s">
        <v>139</v>
      </c>
      <c r="D482" t="s">
        <v>139</v>
      </c>
      <c r="E482" t="s">
        <v>139</v>
      </c>
      <c r="F482" t="s">
        <v>139</v>
      </c>
      <c r="G482" t="s">
        <v>139</v>
      </c>
      <c r="H482" t="s">
        <v>139</v>
      </c>
      <c r="I482" t="str">
        <f>_xlfn.XLOOKUP(H482,'SO-DIMM-i5'!A:A,'SO-DIMM-i5'!B:B,_xlfn.XLOOKUP(H482,'SO-DIMM-i5'!H:H,'SO-DIMM-i5'!G:G,""))</f>
        <v/>
      </c>
    </row>
    <row r="483" spans="1:9" hidden="1" x14ac:dyDescent="0.25">
      <c r="A483">
        <v>0</v>
      </c>
      <c r="B483" t="s">
        <v>4</v>
      </c>
      <c r="C483" t="s">
        <v>139</v>
      </c>
      <c r="D483" t="s">
        <v>139</v>
      </c>
      <c r="E483" t="s">
        <v>139</v>
      </c>
      <c r="F483" t="s">
        <v>139</v>
      </c>
      <c r="G483" t="s">
        <v>139</v>
      </c>
      <c r="H483" t="s">
        <v>139</v>
      </c>
      <c r="I483" t="str">
        <f>_xlfn.XLOOKUP(H483,'SO-DIMM-i5'!A:A,'SO-DIMM-i5'!B:B,_xlfn.XLOOKUP(H483,'SO-DIMM-i5'!H:H,'SO-DIMM-i5'!G:G,""))</f>
        <v/>
      </c>
    </row>
    <row r="484" spans="1:9" hidden="1" x14ac:dyDescent="0.25">
      <c r="A484">
        <v>0</v>
      </c>
      <c r="B484" t="s">
        <v>4</v>
      </c>
      <c r="C484" t="s">
        <v>139</v>
      </c>
      <c r="D484" t="s">
        <v>139</v>
      </c>
      <c r="E484" t="s">
        <v>139</v>
      </c>
      <c r="F484" t="s">
        <v>139</v>
      </c>
      <c r="G484" t="s">
        <v>139</v>
      </c>
      <c r="H484" t="s">
        <v>139</v>
      </c>
      <c r="I484" t="str">
        <f>_xlfn.XLOOKUP(H484,'SO-DIMM-i5'!A:A,'SO-DIMM-i5'!B:B,_xlfn.XLOOKUP(H484,'SO-DIMM-i5'!H:H,'SO-DIMM-i5'!G:G,""))</f>
        <v/>
      </c>
    </row>
    <row r="485" spans="1:9" hidden="1" x14ac:dyDescent="0.25">
      <c r="A485">
        <v>0</v>
      </c>
      <c r="B485" t="s">
        <v>4</v>
      </c>
      <c r="C485" t="s">
        <v>139</v>
      </c>
      <c r="D485" t="s">
        <v>139</v>
      </c>
      <c r="E485" t="s">
        <v>139</v>
      </c>
      <c r="F485" t="s">
        <v>139</v>
      </c>
      <c r="G485" t="s">
        <v>139</v>
      </c>
      <c r="H485" t="s">
        <v>139</v>
      </c>
      <c r="I485" t="str">
        <f>_xlfn.XLOOKUP(H485,'SO-DIMM-i5'!A:A,'SO-DIMM-i5'!B:B,_xlfn.XLOOKUP(H485,'SO-DIMM-i5'!H:H,'SO-DIMM-i5'!G:G,""))</f>
        <v/>
      </c>
    </row>
    <row r="486" spans="1:9" hidden="1" x14ac:dyDescent="0.25">
      <c r="A486">
        <v>0</v>
      </c>
      <c r="B486" t="s">
        <v>4</v>
      </c>
      <c r="C486" t="s">
        <v>139</v>
      </c>
      <c r="D486" t="s">
        <v>139</v>
      </c>
      <c r="E486" t="s">
        <v>139</v>
      </c>
      <c r="F486" t="s">
        <v>139</v>
      </c>
      <c r="G486" t="s">
        <v>139</v>
      </c>
      <c r="H486" t="s">
        <v>139</v>
      </c>
      <c r="I486" t="str">
        <f>_xlfn.XLOOKUP(H486,'SO-DIMM-i5'!A:A,'SO-DIMM-i5'!B:B,_xlfn.XLOOKUP(H486,'SO-DIMM-i5'!H:H,'SO-DIMM-i5'!G:G,""))</f>
        <v/>
      </c>
    </row>
    <row r="487" spans="1:9" hidden="1" x14ac:dyDescent="0.25">
      <c r="A487">
        <v>0</v>
      </c>
      <c r="B487" t="s">
        <v>4</v>
      </c>
      <c r="C487" t="s">
        <v>139</v>
      </c>
      <c r="D487" t="s">
        <v>139</v>
      </c>
      <c r="E487" t="s">
        <v>139</v>
      </c>
      <c r="F487" t="s">
        <v>139</v>
      </c>
      <c r="G487" t="s">
        <v>139</v>
      </c>
      <c r="H487" t="s">
        <v>139</v>
      </c>
      <c r="I487" t="str">
        <f>_xlfn.XLOOKUP(H487,'SO-DIMM-i5'!A:A,'SO-DIMM-i5'!B:B,_xlfn.XLOOKUP(H487,'SO-DIMM-i5'!H:H,'SO-DIMM-i5'!G:G,""))</f>
        <v/>
      </c>
    </row>
    <row r="488" spans="1:9" hidden="1" x14ac:dyDescent="0.25">
      <c r="A488">
        <v>0</v>
      </c>
      <c r="B488" t="s">
        <v>4</v>
      </c>
      <c r="C488" t="s">
        <v>139</v>
      </c>
      <c r="D488" t="s">
        <v>139</v>
      </c>
      <c r="E488" t="s">
        <v>139</v>
      </c>
      <c r="F488" t="s">
        <v>139</v>
      </c>
      <c r="G488" t="s">
        <v>139</v>
      </c>
      <c r="H488" t="s">
        <v>139</v>
      </c>
      <c r="I488" t="str">
        <f>_xlfn.XLOOKUP(H488,'SO-DIMM-i5'!A:A,'SO-DIMM-i5'!B:B,_xlfn.XLOOKUP(H488,'SO-DIMM-i5'!H:H,'SO-DIMM-i5'!G:G,""))</f>
        <v/>
      </c>
    </row>
    <row r="489" spans="1:9" hidden="1" x14ac:dyDescent="0.25">
      <c r="A489">
        <v>0</v>
      </c>
      <c r="B489" t="s">
        <v>4</v>
      </c>
      <c r="C489" t="s">
        <v>139</v>
      </c>
      <c r="D489" t="s">
        <v>139</v>
      </c>
      <c r="E489" t="s">
        <v>139</v>
      </c>
      <c r="F489" t="s">
        <v>139</v>
      </c>
      <c r="G489" t="s">
        <v>139</v>
      </c>
      <c r="H489" t="s">
        <v>139</v>
      </c>
      <c r="I489" t="str">
        <f>_xlfn.XLOOKUP(H489,'SO-DIMM-i5'!A:A,'SO-DIMM-i5'!B:B,_xlfn.XLOOKUP(H489,'SO-DIMM-i5'!H:H,'SO-DIMM-i5'!G:G,""))</f>
        <v/>
      </c>
    </row>
    <row r="490" spans="1:9" hidden="1" x14ac:dyDescent="0.25">
      <c r="A490">
        <v>0</v>
      </c>
      <c r="B490" t="s">
        <v>4</v>
      </c>
      <c r="C490" t="s">
        <v>139</v>
      </c>
      <c r="D490" t="s">
        <v>139</v>
      </c>
      <c r="E490" t="s">
        <v>139</v>
      </c>
      <c r="F490" t="s">
        <v>139</v>
      </c>
      <c r="G490" t="s">
        <v>139</v>
      </c>
      <c r="H490" t="s">
        <v>139</v>
      </c>
      <c r="I490" t="str">
        <f>_xlfn.XLOOKUP(H490,'SO-DIMM-i5'!A:A,'SO-DIMM-i5'!B:B,_xlfn.XLOOKUP(H490,'SO-DIMM-i5'!H:H,'SO-DIMM-i5'!G:G,""))</f>
        <v/>
      </c>
    </row>
    <row r="491" spans="1:9" hidden="1" x14ac:dyDescent="0.25">
      <c r="A491">
        <v>0</v>
      </c>
      <c r="B491" t="s">
        <v>4</v>
      </c>
      <c r="C491" t="s">
        <v>139</v>
      </c>
      <c r="D491" t="s">
        <v>139</v>
      </c>
      <c r="E491" t="s">
        <v>139</v>
      </c>
      <c r="F491" t="s">
        <v>139</v>
      </c>
      <c r="G491" t="s">
        <v>139</v>
      </c>
      <c r="H491" t="s">
        <v>139</v>
      </c>
      <c r="I491" t="str">
        <f>_xlfn.XLOOKUP(H491,'SO-DIMM-i5'!A:A,'SO-DIMM-i5'!B:B,_xlfn.XLOOKUP(H491,'SO-DIMM-i5'!H:H,'SO-DIMM-i5'!G:G,""))</f>
        <v/>
      </c>
    </row>
    <row r="492" spans="1:9" hidden="1" x14ac:dyDescent="0.25">
      <c r="A492">
        <v>0</v>
      </c>
      <c r="B492" t="s">
        <v>4</v>
      </c>
      <c r="C492" t="s">
        <v>139</v>
      </c>
      <c r="D492" t="s">
        <v>139</v>
      </c>
      <c r="E492" t="s">
        <v>139</v>
      </c>
      <c r="F492" t="s">
        <v>139</v>
      </c>
      <c r="G492" t="s">
        <v>139</v>
      </c>
      <c r="H492" t="s">
        <v>139</v>
      </c>
      <c r="I492" t="str">
        <f>_xlfn.XLOOKUP(H492,'SO-DIMM-i5'!A:A,'SO-DIMM-i5'!B:B,_xlfn.XLOOKUP(H492,'SO-DIMM-i5'!H:H,'SO-DIMM-i5'!G:G,""))</f>
        <v/>
      </c>
    </row>
    <row r="493" spans="1:9" hidden="1" x14ac:dyDescent="0.25">
      <c r="A493">
        <v>0</v>
      </c>
      <c r="B493" t="s">
        <v>167</v>
      </c>
      <c r="C493" t="s">
        <v>139</v>
      </c>
      <c r="D493" t="s">
        <v>139</v>
      </c>
      <c r="E493" t="s">
        <v>139</v>
      </c>
      <c r="F493" t="s">
        <v>139</v>
      </c>
      <c r="G493" t="s">
        <v>139</v>
      </c>
      <c r="H493" t="s">
        <v>821</v>
      </c>
      <c r="I493" t="str">
        <f>_xlfn.XLOOKUP(H493,'SO-DIMM-i5'!A:A,'SO-DIMM-i5'!B:B,_xlfn.XLOOKUP(H493,'SO-DIMM-i5'!H:H,'SO-DIMM-i5'!G:G,""))</f>
        <v/>
      </c>
    </row>
    <row r="494" spans="1:9" hidden="1" x14ac:dyDescent="0.25">
      <c r="A494">
        <v>0</v>
      </c>
      <c r="B494" t="s">
        <v>167</v>
      </c>
      <c r="C494" t="s">
        <v>139</v>
      </c>
      <c r="D494" t="s">
        <v>139</v>
      </c>
      <c r="E494" t="s">
        <v>139</v>
      </c>
      <c r="F494" t="s">
        <v>139</v>
      </c>
      <c r="G494" t="s">
        <v>139</v>
      </c>
      <c r="H494" t="s">
        <v>822</v>
      </c>
      <c r="I494" t="str">
        <f>_xlfn.XLOOKUP(H494,'SO-DIMM-i5'!A:A,'SO-DIMM-i5'!B:B,_xlfn.XLOOKUP(H494,'SO-DIMM-i5'!H:H,'SO-DIMM-i5'!G:G,""))</f>
        <v/>
      </c>
    </row>
    <row r="495" spans="1:9" hidden="1" x14ac:dyDescent="0.25">
      <c r="A495">
        <v>0</v>
      </c>
      <c r="B495" t="s">
        <v>167</v>
      </c>
      <c r="C495" t="s">
        <v>139</v>
      </c>
      <c r="D495" t="s">
        <v>139</v>
      </c>
      <c r="E495" t="s">
        <v>139</v>
      </c>
      <c r="F495" t="s">
        <v>139</v>
      </c>
      <c r="G495" t="s">
        <v>139</v>
      </c>
      <c r="H495" t="s">
        <v>823</v>
      </c>
      <c r="I495" t="str">
        <f>_xlfn.XLOOKUP(H495,'SO-DIMM-i5'!A:A,'SO-DIMM-i5'!B:B,_xlfn.XLOOKUP(H495,'SO-DIMM-i5'!H:H,'SO-DIMM-i5'!G:G,""))</f>
        <v/>
      </c>
    </row>
    <row r="496" spans="1:9" hidden="1" x14ac:dyDescent="0.25">
      <c r="A496">
        <v>0</v>
      </c>
      <c r="B496" t="s">
        <v>167</v>
      </c>
      <c r="C496" t="s">
        <v>139</v>
      </c>
      <c r="D496" t="s">
        <v>139</v>
      </c>
      <c r="E496" t="s">
        <v>139</v>
      </c>
      <c r="F496" t="s">
        <v>139</v>
      </c>
      <c r="G496" t="s">
        <v>139</v>
      </c>
      <c r="H496" t="s">
        <v>824</v>
      </c>
      <c r="I496" t="str">
        <f>_xlfn.XLOOKUP(H496,'SO-DIMM-i5'!A:A,'SO-DIMM-i5'!B:B,_xlfn.XLOOKUP(H496,'SO-DIMM-i5'!H:H,'SO-DIMM-i5'!G:G,""))</f>
        <v/>
      </c>
    </row>
    <row r="497" spans="1:9" hidden="1" x14ac:dyDescent="0.25">
      <c r="A497">
        <v>0</v>
      </c>
      <c r="B497" t="s">
        <v>167</v>
      </c>
      <c r="C497" t="s">
        <v>139</v>
      </c>
      <c r="D497" t="s">
        <v>139</v>
      </c>
      <c r="E497" t="s">
        <v>139</v>
      </c>
      <c r="F497" t="s">
        <v>139</v>
      </c>
      <c r="G497" t="s">
        <v>139</v>
      </c>
      <c r="H497" t="s">
        <v>825</v>
      </c>
      <c r="I497" t="str">
        <f>_xlfn.XLOOKUP(H497,'SO-DIMM-i5'!A:A,'SO-DIMM-i5'!B:B,_xlfn.XLOOKUP(H497,'SO-DIMM-i5'!H:H,'SO-DIMM-i5'!G:G,""))</f>
        <v/>
      </c>
    </row>
    <row r="498" spans="1:9" hidden="1" x14ac:dyDescent="0.25">
      <c r="A498">
        <v>0</v>
      </c>
      <c r="B498" t="s">
        <v>167</v>
      </c>
      <c r="C498" t="s">
        <v>139</v>
      </c>
      <c r="D498" t="s">
        <v>139</v>
      </c>
      <c r="E498" t="s">
        <v>139</v>
      </c>
      <c r="F498" t="s">
        <v>139</v>
      </c>
      <c r="G498" t="s">
        <v>139</v>
      </c>
      <c r="H498" t="s">
        <v>826</v>
      </c>
      <c r="I498" t="str">
        <f>_xlfn.XLOOKUP(H498,'SO-DIMM-i5'!A:A,'SO-DIMM-i5'!B:B,_xlfn.XLOOKUP(H498,'SO-DIMM-i5'!H:H,'SO-DIMM-i5'!G:G,""))</f>
        <v/>
      </c>
    </row>
    <row r="499" spans="1:9" hidden="1" x14ac:dyDescent="0.25">
      <c r="A499">
        <v>0</v>
      </c>
      <c r="B499" t="s">
        <v>167</v>
      </c>
      <c r="C499" t="s">
        <v>139</v>
      </c>
      <c r="D499" t="s">
        <v>139</v>
      </c>
      <c r="E499" t="s">
        <v>139</v>
      </c>
      <c r="F499" t="s">
        <v>139</v>
      </c>
      <c r="G499" t="s">
        <v>139</v>
      </c>
      <c r="H499" t="s">
        <v>827</v>
      </c>
      <c r="I499" t="str">
        <f>_xlfn.XLOOKUP(H499,'SO-DIMM-i5'!A:A,'SO-DIMM-i5'!B:B,_xlfn.XLOOKUP(H499,'SO-DIMM-i5'!H:H,'SO-DIMM-i5'!G:G,""))</f>
        <v/>
      </c>
    </row>
    <row r="500" spans="1:9" hidden="1" x14ac:dyDescent="0.25">
      <c r="A500">
        <v>0</v>
      </c>
      <c r="B500" t="s">
        <v>167</v>
      </c>
      <c r="C500" t="s">
        <v>139</v>
      </c>
      <c r="D500" t="s">
        <v>139</v>
      </c>
      <c r="E500" t="s">
        <v>139</v>
      </c>
      <c r="F500" t="s">
        <v>139</v>
      </c>
      <c r="G500" t="s">
        <v>139</v>
      </c>
      <c r="H500" t="s">
        <v>828</v>
      </c>
      <c r="I500" t="str">
        <f>_xlfn.XLOOKUP(H500,'SO-DIMM-i5'!A:A,'SO-DIMM-i5'!B:B,_xlfn.XLOOKUP(H500,'SO-DIMM-i5'!H:H,'SO-DIMM-i5'!G:G,""))</f>
        <v/>
      </c>
    </row>
    <row r="501" spans="1:9" hidden="1" x14ac:dyDescent="0.25">
      <c r="A501">
        <v>0</v>
      </c>
      <c r="B501" t="s">
        <v>167</v>
      </c>
      <c r="C501" t="s">
        <v>139</v>
      </c>
      <c r="D501" t="s">
        <v>139</v>
      </c>
      <c r="E501" t="s">
        <v>139</v>
      </c>
      <c r="F501" t="s">
        <v>139</v>
      </c>
      <c r="G501" t="s">
        <v>139</v>
      </c>
      <c r="H501" t="s">
        <v>829</v>
      </c>
      <c r="I501" t="str">
        <f>_xlfn.XLOOKUP(H501,'SO-DIMM-i5'!A:A,'SO-DIMM-i5'!B:B,_xlfn.XLOOKUP(H501,'SO-DIMM-i5'!H:H,'SO-DIMM-i5'!G:G,""))</f>
        <v/>
      </c>
    </row>
    <row r="502" spans="1:9" hidden="1" x14ac:dyDescent="0.25">
      <c r="A502">
        <v>0</v>
      </c>
      <c r="B502" t="s">
        <v>167</v>
      </c>
      <c r="C502" t="s">
        <v>139</v>
      </c>
      <c r="D502" t="s">
        <v>139</v>
      </c>
      <c r="E502" t="s">
        <v>139</v>
      </c>
      <c r="F502" t="s">
        <v>139</v>
      </c>
      <c r="G502" t="s">
        <v>139</v>
      </c>
      <c r="H502" t="s">
        <v>830</v>
      </c>
      <c r="I502" t="str">
        <f>_xlfn.XLOOKUP(H502,'SO-DIMM-i5'!A:A,'SO-DIMM-i5'!B:B,_xlfn.XLOOKUP(H502,'SO-DIMM-i5'!H:H,'SO-DIMM-i5'!G:G,""))</f>
        <v/>
      </c>
    </row>
    <row r="503" spans="1:9" hidden="1" x14ac:dyDescent="0.25">
      <c r="A503">
        <v>0</v>
      </c>
      <c r="B503" t="s">
        <v>167</v>
      </c>
      <c r="C503" t="s">
        <v>139</v>
      </c>
      <c r="D503" t="s">
        <v>139</v>
      </c>
      <c r="E503" t="s">
        <v>139</v>
      </c>
      <c r="F503" t="s">
        <v>139</v>
      </c>
      <c r="G503" t="s">
        <v>139</v>
      </c>
      <c r="H503" t="s">
        <v>831</v>
      </c>
      <c r="I503" t="str">
        <f>_xlfn.XLOOKUP(H503,'SO-DIMM-i5'!A:A,'SO-DIMM-i5'!B:B,_xlfn.XLOOKUP(H503,'SO-DIMM-i5'!H:H,'SO-DIMM-i5'!G:G,""))</f>
        <v/>
      </c>
    </row>
    <row r="504" spans="1:9" hidden="1" x14ac:dyDescent="0.25">
      <c r="A504">
        <v>0</v>
      </c>
      <c r="B504" t="s">
        <v>167</v>
      </c>
      <c r="C504" t="s">
        <v>139</v>
      </c>
      <c r="D504" t="s">
        <v>139</v>
      </c>
      <c r="E504" t="s">
        <v>139</v>
      </c>
      <c r="F504" t="s">
        <v>139</v>
      </c>
      <c r="G504" t="s">
        <v>139</v>
      </c>
      <c r="H504" t="s">
        <v>832</v>
      </c>
      <c r="I504" t="str">
        <f>_xlfn.XLOOKUP(H504,'SO-DIMM-i5'!A:A,'SO-DIMM-i5'!B:B,_xlfn.XLOOKUP(H504,'SO-DIMM-i5'!H:H,'SO-DIMM-i5'!G:G,""))</f>
        <v/>
      </c>
    </row>
    <row r="505" spans="1:9" hidden="1" x14ac:dyDescent="0.25">
      <c r="A505">
        <v>0</v>
      </c>
      <c r="B505" t="s">
        <v>167</v>
      </c>
      <c r="C505" t="s">
        <v>139</v>
      </c>
      <c r="D505" t="s">
        <v>139</v>
      </c>
      <c r="E505" t="s">
        <v>139</v>
      </c>
      <c r="F505" t="s">
        <v>139</v>
      </c>
      <c r="G505" t="s">
        <v>139</v>
      </c>
      <c r="H505" t="s">
        <v>833</v>
      </c>
      <c r="I505" t="str">
        <f>_xlfn.XLOOKUP(H505,'SO-DIMM-i5'!A:A,'SO-DIMM-i5'!B:B,_xlfn.XLOOKUP(H505,'SO-DIMM-i5'!H:H,'SO-DIMM-i5'!G:G,""))</f>
        <v/>
      </c>
    </row>
    <row r="506" spans="1:9" hidden="1" x14ac:dyDescent="0.25">
      <c r="A506">
        <v>0</v>
      </c>
      <c r="B506" t="s">
        <v>167</v>
      </c>
      <c r="C506" t="s">
        <v>139</v>
      </c>
      <c r="D506" t="s">
        <v>139</v>
      </c>
      <c r="E506" t="s">
        <v>139</v>
      </c>
      <c r="F506" t="s">
        <v>139</v>
      </c>
      <c r="G506" t="s">
        <v>139</v>
      </c>
      <c r="H506" t="s">
        <v>834</v>
      </c>
      <c r="I506" t="str">
        <f>_xlfn.XLOOKUP(H506,'SO-DIMM-i5'!A:A,'SO-DIMM-i5'!B:B,_xlfn.XLOOKUP(H506,'SO-DIMM-i5'!H:H,'SO-DIMM-i5'!G:G,""))</f>
        <v/>
      </c>
    </row>
    <row r="507" spans="1:9" hidden="1" x14ac:dyDescent="0.25">
      <c r="A507">
        <v>0</v>
      </c>
      <c r="B507" t="s">
        <v>167</v>
      </c>
      <c r="C507" t="s">
        <v>139</v>
      </c>
      <c r="D507" t="s">
        <v>139</v>
      </c>
      <c r="E507" t="s">
        <v>139</v>
      </c>
      <c r="F507" t="s">
        <v>139</v>
      </c>
      <c r="G507" t="s">
        <v>139</v>
      </c>
      <c r="H507" t="s">
        <v>835</v>
      </c>
      <c r="I507" t="str">
        <f>_xlfn.XLOOKUP(H507,'SO-DIMM-i5'!A:A,'SO-DIMM-i5'!B:B,_xlfn.XLOOKUP(H507,'SO-DIMM-i5'!H:H,'SO-DIMM-i5'!G:G,""))</f>
        <v/>
      </c>
    </row>
    <row r="508" spans="1:9" hidden="1" x14ac:dyDescent="0.25">
      <c r="A508">
        <v>0</v>
      </c>
      <c r="B508" t="s">
        <v>167</v>
      </c>
      <c r="C508" t="s">
        <v>139</v>
      </c>
      <c r="D508" t="s">
        <v>139</v>
      </c>
      <c r="E508" t="s">
        <v>139</v>
      </c>
      <c r="F508" t="s">
        <v>139</v>
      </c>
      <c r="G508" t="s">
        <v>139</v>
      </c>
      <c r="H508" t="s">
        <v>836</v>
      </c>
      <c r="I508" t="str">
        <f>_xlfn.XLOOKUP(H508,'SO-DIMM-i5'!A:A,'SO-DIMM-i5'!B:B,_xlfn.XLOOKUP(H508,'SO-DIMM-i5'!H:H,'SO-DIMM-i5'!G:G,""))</f>
        <v/>
      </c>
    </row>
    <row r="509" spans="1:9" hidden="1" x14ac:dyDescent="0.25">
      <c r="A509">
        <v>0</v>
      </c>
      <c r="B509" t="s">
        <v>167</v>
      </c>
      <c r="C509" t="s">
        <v>139</v>
      </c>
      <c r="D509" t="s">
        <v>139</v>
      </c>
      <c r="E509" t="s">
        <v>139</v>
      </c>
      <c r="F509" t="s">
        <v>139</v>
      </c>
      <c r="G509" t="s">
        <v>139</v>
      </c>
      <c r="H509" t="s">
        <v>837</v>
      </c>
      <c r="I509" t="str">
        <f>_xlfn.XLOOKUP(H509,'SO-DIMM-i5'!A:A,'SO-DIMM-i5'!B:B,_xlfn.XLOOKUP(H509,'SO-DIMM-i5'!H:H,'SO-DIMM-i5'!G:G,""))</f>
        <v/>
      </c>
    </row>
    <row r="510" spans="1:9" hidden="1" x14ac:dyDescent="0.25">
      <c r="A510">
        <v>0</v>
      </c>
      <c r="B510" t="s">
        <v>167</v>
      </c>
      <c r="C510" t="s">
        <v>139</v>
      </c>
      <c r="D510" t="s">
        <v>139</v>
      </c>
      <c r="E510" t="s">
        <v>139</v>
      </c>
      <c r="F510" t="s">
        <v>139</v>
      </c>
      <c r="G510" t="s">
        <v>139</v>
      </c>
      <c r="H510" t="s">
        <v>838</v>
      </c>
      <c r="I510" t="str">
        <f>_xlfn.XLOOKUP(H510,'SO-DIMM-i5'!A:A,'SO-DIMM-i5'!B:B,_xlfn.XLOOKUP(H510,'SO-DIMM-i5'!H:H,'SO-DIMM-i5'!G:G,""))</f>
        <v/>
      </c>
    </row>
    <row r="511" spans="1:9" hidden="1" x14ac:dyDescent="0.25">
      <c r="A511">
        <v>0</v>
      </c>
      <c r="B511" t="s">
        <v>167</v>
      </c>
      <c r="C511" t="s">
        <v>139</v>
      </c>
      <c r="D511" t="s">
        <v>139</v>
      </c>
      <c r="E511" t="s">
        <v>139</v>
      </c>
      <c r="F511" t="s">
        <v>139</v>
      </c>
      <c r="G511" t="s">
        <v>139</v>
      </c>
      <c r="H511" t="s">
        <v>839</v>
      </c>
      <c r="I511" t="str">
        <f>_xlfn.XLOOKUP(H511,'SO-DIMM-i5'!A:A,'SO-DIMM-i5'!B:B,_xlfn.XLOOKUP(H511,'SO-DIMM-i5'!H:H,'SO-DIMM-i5'!G:G,""))</f>
        <v/>
      </c>
    </row>
    <row r="512" spans="1:9" hidden="1" x14ac:dyDescent="0.25">
      <c r="A512">
        <v>0</v>
      </c>
      <c r="B512" t="s">
        <v>167</v>
      </c>
      <c r="C512" t="s">
        <v>139</v>
      </c>
      <c r="D512" t="s">
        <v>139</v>
      </c>
      <c r="E512" t="s">
        <v>139</v>
      </c>
      <c r="F512" t="s">
        <v>139</v>
      </c>
      <c r="G512" t="s">
        <v>139</v>
      </c>
      <c r="H512" t="s">
        <v>840</v>
      </c>
      <c r="I512" t="str">
        <f>_xlfn.XLOOKUP(H512,'SO-DIMM-i5'!A:A,'SO-DIMM-i5'!B:B,_xlfn.XLOOKUP(H512,'SO-DIMM-i5'!H:H,'SO-DIMM-i5'!G:G,""))</f>
        <v/>
      </c>
    </row>
    <row r="513" spans="1:9" hidden="1" x14ac:dyDescent="0.25">
      <c r="A513">
        <v>0</v>
      </c>
      <c r="B513" t="s">
        <v>167</v>
      </c>
      <c r="C513" t="s">
        <v>139</v>
      </c>
      <c r="D513" t="s">
        <v>139</v>
      </c>
      <c r="E513" t="s">
        <v>139</v>
      </c>
      <c r="F513" t="s">
        <v>139</v>
      </c>
      <c r="G513" t="s">
        <v>139</v>
      </c>
      <c r="H513" t="s">
        <v>139</v>
      </c>
      <c r="I513" t="str">
        <f>_xlfn.XLOOKUP(H513,'SO-DIMM-i5'!A:A,'SO-DIMM-i5'!B:B,_xlfn.XLOOKUP(H513,'SO-DIMM-i5'!H:H,'SO-DIMM-i5'!G:G,""))</f>
        <v/>
      </c>
    </row>
    <row r="514" spans="1:9" hidden="1" x14ac:dyDescent="0.25">
      <c r="A514">
        <v>0</v>
      </c>
      <c r="B514" t="s">
        <v>167</v>
      </c>
      <c r="C514" t="s">
        <v>139</v>
      </c>
      <c r="D514" t="s">
        <v>139</v>
      </c>
      <c r="E514" t="s">
        <v>139</v>
      </c>
      <c r="F514" t="s">
        <v>139</v>
      </c>
      <c r="G514" t="s">
        <v>139</v>
      </c>
      <c r="H514" t="s">
        <v>139</v>
      </c>
      <c r="I514" t="str">
        <f>_xlfn.XLOOKUP(H514,'SO-DIMM-i5'!A:A,'SO-DIMM-i5'!B:B,_xlfn.XLOOKUP(H514,'SO-DIMM-i5'!H:H,'SO-DIMM-i5'!G:G,""))</f>
        <v/>
      </c>
    </row>
    <row r="515" spans="1:9" hidden="1" x14ac:dyDescent="0.25">
      <c r="A515">
        <v>0</v>
      </c>
      <c r="B515" t="s">
        <v>156</v>
      </c>
      <c r="C515" t="s">
        <v>139</v>
      </c>
      <c r="D515" t="s">
        <v>139</v>
      </c>
      <c r="E515" t="s">
        <v>139</v>
      </c>
      <c r="F515" t="s">
        <v>139</v>
      </c>
      <c r="G515" t="s">
        <v>139</v>
      </c>
      <c r="H515" t="s">
        <v>841</v>
      </c>
      <c r="I515" t="str">
        <f>_xlfn.XLOOKUP(H515,'SO-DIMM-i5'!A:A,'SO-DIMM-i5'!B:B,_xlfn.XLOOKUP(H515,'SO-DIMM-i5'!H:H,'SO-DIMM-i5'!G:G,""))</f>
        <v/>
      </c>
    </row>
    <row r="516" spans="1:9" hidden="1" x14ac:dyDescent="0.25">
      <c r="A516">
        <v>0</v>
      </c>
      <c r="B516" t="s">
        <v>156</v>
      </c>
      <c r="C516" t="s">
        <v>139</v>
      </c>
      <c r="D516" t="s">
        <v>139</v>
      </c>
      <c r="E516" t="s">
        <v>139</v>
      </c>
      <c r="F516" t="s">
        <v>139</v>
      </c>
      <c r="G516" t="s">
        <v>139</v>
      </c>
      <c r="H516" t="s">
        <v>842</v>
      </c>
      <c r="I516" t="str">
        <f>_xlfn.XLOOKUP(H516,'SO-DIMM-i5'!A:A,'SO-DIMM-i5'!B:B,_xlfn.XLOOKUP(H516,'SO-DIMM-i5'!H:H,'SO-DIMM-i5'!G:G,""))</f>
        <v/>
      </c>
    </row>
    <row r="517" spans="1:9" hidden="1" x14ac:dyDescent="0.25">
      <c r="A517">
        <v>0</v>
      </c>
      <c r="B517" t="s">
        <v>156</v>
      </c>
      <c r="C517" t="s">
        <v>139</v>
      </c>
      <c r="D517" t="s">
        <v>139</v>
      </c>
      <c r="E517" t="s">
        <v>139</v>
      </c>
      <c r="F517" t="s">
        <v>139</v>
      </c>
      <c r="G517" t="s">
        <v>139</v>
      </c>
      <c r="H517" t="s">
        <v>843</v>
      </c>
      <c r="I517" t="str">
        <f>_xlfn.XLOOKUP(H517,'SO-DIMM-i5'!A:A,'SO-DIMM-i5'!B:B,_xlfn.XLOOKUP(H517,'SO-DIMM-i5'!H:H,'SO-DIMM-i5'!G:G,""))</f>
        <v/>
      </c>
    </row>
    <row r="518" spans="1:9" hidden="1" x14ac:dyDescent="0.25">
      <c r="A518">
        <v>0</v>
      </c>
      <c r="B518" t="s">
        <v>156</v>
      </c>
      <c r="C518" t="s">
        <v>139</v>
      </c>
      <c r="D518" t="s">
        <v>139</v>
      </c>
      <c r="E518" t="s">
        <v>139</v>
      </c>
      <c r="F518" t="s">
        <v>139</v>
      </c>
      <c r="G518" t="s">
        <v>139</v>
      </c>
      <c r="H518" t="s">
        <v>844</v>
      </c>
      <c r="I518" t="str">
        <f>_xlfn.XLOOKUP(H518,'SO-DIMM-i5'!A:A,'SO-DIMM-i5'!B:B,_xlfn.XLOOKUP(H518,'SO-DIMM-i5'!H:H,'SO-DIMM-i5'!G:G,""))</f>
        <v/>
      </c>
    </row>
    <row r="519" spans="1:9" hidden="1" x14ac:dyDescent="0.25">
      <c r="A519">
        <v>0</v>
      </c>
      <c r="B519" t="s">
        <v>156</v>
      </c>
      <c r="C519" t="s">
        <v>139</v>
      </c>
      <c r="D519" t="s">
        <v>139</v>
      </c>
      <c r="E519" t="s">
        <v>139</v>
      </c>
      <c r="F519" t="s">
        <v>139</v>
      </c>
      <c r="G519" t="s">
        <v>139</v>
      </c>
      <c r="H519" t="s">
        <v>139</v>
      </c>
      <c r="I519" t="str">
        <f>_xlfn.XLOOKUP(H519,'SO-DIMM-i5'!A:A,'SO-DIMM-i5'!B:B,_xlfn.XLOOKUP(H519,'SO-DIMM-i5'!H:H,'SO-DIMM-i5'!G:G,""))</f>
        <v/>
      </c>
    </row>
    <row r="520" spans="1:9" hidden="1" x14ac:dyDescent="0.25">
      <c r="A520">
        <v>0</v>
      </c>
      <c r="B520" t="s">
        <v>156</v>
      </c>
      <c r="C520" t="s">
        <v>139</v>
      </c>
      <c r="D520" t="s">
        <v>139</v>
      </c>
      <c r="E520" t="s">
        <v>139</v>
      </c>
      <c r="F520" t="s">
        <v>139</v>
      </c>
      <c r="G520" t="s">
        <v>139</v>
      </c>
      <c r="H520" t="s">
        <v>139</v>
      </c>
      <c r="I520" t="str">
        <f>_xlfn.XLOOKUP(H520,'SO-DIMM-i5'!A:A,'SO-DIMM-i5'!B:B,_xlfn.XLOOKUP(H520,'SO-DIMM-i5'!H:H,'SO-DIMM-i5'!G:G,""))</f>
        <v/>
      </c>
    </row>
    <row r="521" spans="1:9" hidden="1" x14ac:dyDescent="0.25">
      <c r="A521">
        <v>0</v>
      </c>
      <c r="B521" t="s">
        <v>156</v>
      </c>
      <c r="C521" t="s">
        <v>139</v>
      </c>
      <c r="D521" t="s">
        <v>139</v>
      </c>
      <c r="E521" t="s">
        <v>139</v>
      </c>
      <c r="F521" t="s">
        <v>139</v>
      </c>
      <c r="G521" t="s">
        <v>139</v>
      </c>
      <c r="H521" t="s">
        <v>139</v>
      </c>
      <c r="I521" t="str">
        <f>_xlfn.XLOOKUP(H521,'SO-DIMM-i5'!A:A,'SO-DIMM-i5'!B:B,_xlfn.XLOOKUP(H521,'SO-DIMM-i5'!H:H,'SO-DIMM-i5'!G:G,""))</f>
        <v/>
      </c>
    </row>
    <row r="522" spans="1:9" hidden="1" x14ac:dyDescent="0.25">
      <c r="A522">
        <v>0</v>
      </c>
      <c r="B522" t="s">
        <v>156</v>
      </c>
      <c r="C522" t="s">
        <v>139</v>
      </c>
      <c r="D522" t="s">
        <v>139</v>
      </c>
      <c r="E522" t="s">
        <v>139</v>
      </c>
      <c r="F522" t="s">
        <v>139</v>
      </c>
      <c r="G522" t="s">
        <v>139</v>
      </c>
      <c r="H522" t="s">
        <v>139</v>
      </c>
      <c r="I522" t="str">
        <f>_xlfn.XLOOKUP(H522,'SO-DIMM-i5'!A:A,'SO-DIMM-i5'!B:B,_xlfn.XLOOKUP(H522,'SO-DIMM-i5'!H:H,'SO-DIMM-i5'!G:G,""))</f>
        <v/>
      </c>
    </row>
    <row r="523" spans="1:9" hidden="1" x14ac:dyDescent="0.25">
      <c r="A523">
        <v>0</v>
      </c>
      <c r="B523" t="s">
        <v>156</v>
      </c>
      <c r="C523" t="s">
        <v>139</v>
      </c>
      <c r="D523" t="s">
        <v>139</v>
      </c>
      <c r="E523" t="s">
        <v>139</v>
      </c>
      <c r="F523" t="s">
        <v>139</v>
      </c>
      <c r="G523" t="s">
        <v>139</v>
      </c>
      <c r="H523" t="s">
        <v>139</v>
      </c>
      <c r="I523" t="str">
        <f>_xlfn.XLOOKUP(H523,'SO-DIMM-i5'!A:A,'SO-DIMM-i5'!B:B,_xlfn.XLOOKUP(H523,'SO-DIMM-i5'!H:H,'SO-DIMM-i5'!G:G,""))</f>
        <v/>
      </c>
    </row>
    <row r="524" spans="1:9" hidden="1" x14ac:dyDescent="0.25">
      <c r="A524">
        <v>0</v>
      </c>
      <c r="B524" t="s">
        <v>156</v>
      </c>
      <c r="C524" t="s">
        <v>139</v>
      </c>
      <c r="D524" t="s">
        <v>139</v>
      </c>
      <c r="E524" t="s">
        <v>139</v>
      </c>
      <c r="F524" t="s">
        <v>139</v>
      </c>
      <c r="G524" t="s">
        <v>139</v>
      </c>
      <c r="H524" t="s">
        <v>139</v>
      </c>
      <c r="I524" t="str">
        <f>_xlfn.XLOOKUP(H524,'SO-DIMM-i5'!A:A,'SO-DIMM-i5'!B:B,_xlfn.XLOOKUP(H524,'SO-DIMM-i5'!H:H,'SO-DIMM-i5'!G:G,""))</f>
        <v/>
      </c>
    </row>
    <row r="525" spans="1:9" hidden="1" x14ac:dyDescent="0.25">
      <c r="A525">
        <v>0</v>
      </c>
      <c r="B525" t="s">
        <v>156</v>
      </c>
      <c r="C525" t="s">
        <v>139</v>
      </c>
      <c r="D525" t="s">
        <v>139</v>
      </c>
      <c r="E525" t="s">
        <v>139</v>
      </c>
      <c r="F525" t="s">
        <v>139</v>
      </c>
      <c r="G525" t="s">
        <v>139</v>
      </c>
      <c r="H525" t="s">
        <v>139</v>
      </c>
      <c r="I525" t="str">
        <f>_xlfn.XLOOKUP(H525,'SO-DIMM-i5'!A:A,'SO-DIMM-i5'!B:B,_xlfn.XLOOKUP(H525,'SO-DIMM-i5'!H:H,'SO-DIMM-i5'!G:G,""))</f>
        <v/>
      </c>
    </row>
    <row r="526" spans="1:9" hidden="1" x14ac:dyDescent="0.25">
      <c r="A526">
        <v>0</v>
      </c>
      <c r="B526" t="s">
        <v>156</v>
      </c>
      <c r="C526" t="s">
        <v>139</v>
      </c>
      <c r="D526" t="s">
        <v>139</v>
      </c>
      <c r="E526" t="s">
        <v>139</v>
      </c>
      <c r="F526" t="s">
        <v>139</v>
      </c>
      <c r="G526" t="s">
        <v>139</v>
      </c>
      <c r="H526" t="s">
        <v>139</v>
      </c>
      <c r="I526" t="str">
        <f>_xlfn.XLOOKUP(H526,'SO-DIMM-i5'!A:A,'SO-DIMM-i5'!B:B,_xlfn.XLOOKUP(H526,'SO-DIMM-i5'!H:H,'SO-DIMM-i5'!G:G,""))</f>
        <v/>
      </c>
    </row>
    <row r="527" spans="1:9" hidden="1" x14ac:dyDescent="0.25">
      <c r="A527">
        <v>0</v>
      </c>
      <c r="B527" t="s">
        <v>156</v>
      </c>
      <c r="C527" t="s">
        <v>139</v>
      </c>
      <c r="D527" t="s">
        <v>139</v>
      </c>
      <c r="E527" t="s">
        <v>139</v>
      </c>
      <c r="F527" t="s">
        <v>139</v>
      </c>
      <c r="G527" t="s">
        <v>139</v>
      </c>
      <c r="H527" t="s">
        <v>139</v>
      </c>
      <c r="I527" t="str">
        <f>_xlfn.XLOOKUP(H527,'SO-DIMM-i5'!A:A,'SO-DIMM-i5'!B:B,_xlfn.XLOOKUP(H527,'SO-DIMM-i5'!H:H,'SO-DIMM-i5'!G:G,""))</f>
        <v/>
      </c>
    </row>
    <row r="528" spans="1:9" hidden="1" x14ac:dyDescent="0.25">
      <c r="A528">
        <v>0</v>
      </c>
      <c r="B528" t="s">
        <v>687</v>
      </c>
      <c r="C528">
        <v>0</v>
      </c>
      <c r="D528" t="s">
        <v>139</v>
      </c>
      <c r="E528" t="s">
        <v>139</v>
      </c>
      <c r="F528" t="s">
        <v>139</v>
      </c>
      <c r="G528" t="s">
        <v>139</v>
      </c>
      <c r="H528" t="s">
        <v>845</v>
      </c>
      <c r="I528" t="str">
        <f>_xlfn.XLOOKUP(H528,'SO-DIMM-i5'!A:A,'SO-DIMM-i5'!B:B,_xlfn.XLOOKUP(H528,'SO-DIMM-i5'!H:H,'SO-DIMM-i5'!G:G,""))</f>
        <v/>
      </c>
    </row>
    <row r="529" spans="1:9" hidden="1" x14ac:dyDescent="0.25">
      <c r="A529">
        <v>0</v>
      </c>
      <c r="B529" t="s">
        <v>687</v>
      </c>
      <c r="C529">
        <v>0</v>
      </c>
      <c r="D529" t="s">
        <v>139</v>
      </c>
      <c r="E529" t="s">
        <v>139</v>
      </c>
      <c r="F529" t="s">
        <v>139</v>
      </c>
      <c r="G529" t="s">
        <v>139</v>
      </c>
      <c r="H529" t="s">
        <v>846</v>
      </c>
      <c r="I529" t="str">
        <f>_xlfn.XLOOKUP(H529,'SO-DIMM-i5'!A:A,'SO-DIMM-i5'!B:B,_xlfn.XLOOKUP(H529,'SO-DIMM-i5'!H:H,'SO-DIMM-i5'!G:G,""))</f>
        <v/>
      </c>
    </row>
    <row r="530" spans="1:9" hidden="1" x14ac:dyDescent="0.25">
      <c r="A530">
        <v>0</v>
      </c>
      <c r="B530" t="s">
        <v>687</v>
      </c>
      <c r="C530">
        <v>0</v>
      </c>
      <c r="D530" t="s">
        <v>139</v>
      </c>
      <c r="E530" t="s">
        <v>139</v>
      </c>
      <c r="F530" t="s">
        <v>139</v>
      </c>
      <c r="G530" t="s">
        <v>139</v>
      </c>
      <c r="H530" t="s">
        <v>139</v>
      </c>
      <c r="I530" t="str">
        <f>_xlfn.XLOOKUP(H530,'SO-DIMM-i5'!A:A,'SO-DIMM-i5'!B:B,_xlfn.XLOOKUP(H530,'SO-DIMM-i5'!H:H,'SO-DIMM-i5'!G:G,""))</f>
        <v/>
      </c>
    </row>
    <row r="531" spans="1:9" hidden="1" x14ac:dyDescent="0.25">
      <c r="A531">
        <v>0</v>
      </c>
      <c r="B531" t="s">
        <v>687</v>
      </c>
      <c r="C531">
        <v>0</v>
      </c>
      <c r="D531" t="s">
        <v>139</v>
      </c>
      <c r="E531" t="s">
        <v>139</v>
      </c>
      <c r="F531" t="s">
        <v>139</v>
      </c>
      <c r="G531" t="s">
        <v>139</v>
      </c>
      <c r="H531" t="s">
        <v>139</v>
      </c>
      <c r="I531" t="str">
        <f>_xlfn.XLOOKUP(H531,'SO-DIMM-i5'!A:A,'SO-DIMM-i5'!B:B,_xlfn.XLOOKUP(H531,'SO-DIMM-i5'!H:H,'SO-DIMM-i5'!G:G,""))</f>
        <v/>
      </c>
    </row>
    <row r="532" spans="1:9" hidden="1" x14ac:dyDescent="0.25">
      <c r="A532">
        <v>0</v>
      </c>
      <c r="B532" t="s">
        <v>687</v>
      </c>
      <c r="C532">
        <v>0</v>
      </c>
      <c r="D532" t="s">
        <v>139</v>
      </c>
      <c r="E532" t="s">
        <v>139</v>
      </c>
      <c r="F532" t="s">
        <v>139</v>
      </c>
      <c r="G532" t="s">
        <v>139</v>
      </c>
      <c r="H532" t="s">
        <v>139</v>
      </c>
      <c r="I532" t="str">
        <f>_xlfn.XLOOKUP(H532,'SO-DIMM-i5'!A:A,'SO-DIMM-i5'!B:B,_xlfn.XLOOKUP(H532,'SO-DIMM-i5'!H:H,'SO-DIMM-i5'!G:G,""))</f>
        <v/>
      </c>
    </row>
    <row r="533" spans="1:9" hidden="1" x14ac:dyDescent="0.25">
      <c r="A533">
        <v>0</v>
      </c>
      <c r="B533" t="s">
        <v>687</v>
      </c>
      <c r="C533">
        <v>0</v>
      </c>
      <c r="D533" t="s">
        <v>139</v>
      </c>
      <c r="E533" t="s">
        <v>139</v>
      </c>
      <c r="F533" t="s">
        <v>139</v>
      </c>
      <c r="G533" t="s">
        <v>139</v>
      </c>
      <c r="H533" t="s">
        <v>139</v>
      </c>
      <c r="I533" t="str">
        <f>_xlfn.XLOOKUP(H533,'SO-DIMM-i5'!A:A,'SO-DIMM-i5'!B:B,_xlfn.XLOOKUP(H533,'SO-DIMM-i5'!H:H,'SO-DIMM-i5'!G:G,""))</f>
        <v/>
      </c>
    </row>
    <row r="534" spans="1:9" hidden="1" x14ac:dyDescent="0.25">
      <c r="A534">
        <v>0</v>
      </c>
      <c r="B534" t="s">
        <v>588</v>
      </c>
      <c r="C534">
        <v>1</v>
      </c>
      <c r="D534" t="s">
        <v>139</v>
      </c>
      <c r="E534" t="s">
        <v>139</v>
      </c>
      <c r="F534" t="s">
        <v>139</v>
      </c>
      <c r="G534" t="s">
        <v>139</v>
      </c>
      <c r="H534" t="s">
        <v>847</v>
      </c>
      <c r="I534" t="str">
        <f>_xlfn.XLOOKUP(H534,'SO-DIMM-i5'!A:A,'SO-DIMM-i5'!B:B,_xlfn.XLOOKUP(H534,'SO-DIMM-i5'!H:H,'SO-DIMM-i5'!G:G,""))</f>
        <v/>
      </c>
    </row>
    <row r="535" spans="1:9" hidden="1" x14ac:dyDescent="0.25">
      <c r="A535">
        <v>0</v>
      </c>
      <c r="B535" t="s">
        <v>588</v>
      </c>
      <c r="C535">
        <v>1</v>
      </c>
      <c r="D535" t="s">
        <v>139</v>
      </c>
      <c r="E535" t="s">
        <v>139</v>
      </c>
      <c r="F535" t="s">
        <v>139</v>
      </c>
      <c r="G535" t="s">
        <v>139</v>
      </c>
      <c r="H535" t="s">
        <v>848</v>
      </c>
      <c r="I535" t="str">
        <f>_xlfn.XLOOKUP(H535,'SO-DIMM-i5'!A:A,'SO-DIMM-i5'!B:B,_xlfn.XLOOKUP(H535,'SO-DIMM-i5'!H:H,'SO-DIMM-i5'!G:G,""))</f>
        <v/>
      </c>
    </row>
    <row r="536" spans="1:9" hidden="1" x14ac:dyDescent="0.25">
      <c r="A536">
        <v>0</v>
      </c>
      <c r="B536" t="s">
        <v>588</v>
      </c>
      <c r="C536">
        <v>1</v>
      </c>
      <c r="D536" t="s">
        <v>139</v>
      </c>
      <c r="E536" t="s">
        <v>139</v>
      </c>
      <c r="F536" t="s">
        <v>139</v>
      </c>
      <c r="G536" t="s">
        <v>139</v>
      </c>
      <c r="H536" t="s">
        <v>139</v>
      </c>
      <c r="I536" t="str">
        <f>_xlfn.XLOOKUP(H536,'SO-DIMM-i5'!A:A,'SO-DIMM-i5'!B:B,_xlfn.XLOOKUP(H536,'SO-DIMM-i5'!H:H,'SO-DIMM-i5'!G:G,""))</f>
        <v/>
      </c>
    </row>
    <row r="537" spans="1:9" hidden="1" x14ac:dyDescent="0.25">
      <c r="A537">
        <v>0</v>
      </c>
      <c r="B537" t="s">
        <v>588</v>
      </c>
      <c r="C537">
        <v>1</v>
      </c>
      <c r="D537" t="s">
        <v>139</v>
      </c>
      <c r="E537" t="s">
        <v>139</v>
      </c>
      <c r="F537" t="s">
        <v>139</v>
      </c>
      <c r="G537" t="s">
        <v>139</v>
      </c>
      <c r="H537" t="s">
        <v>139</v>
      </c>
      <c r="I537" t="str">
        <f>_xlfn.XLOOKUP(H537,'SO-DIMM-i5'!A:A,'SO-DIMM-i5'!B:B,_xlfn.XLOOKUP(H537,'SO-DIMM-i5'!H:H,'SO-DIMM-i5'!G:G,""))</f>
        <v/>
      </c>
    </row>
    <row r="538" spans="1:9" hidden="1" x14ac:dyDescent="0.25">
      <c r="A538">
        <v>0</v>
      </c>
      <c r="B538" t="s">
        <v>588</v>
      </c>
      <c r="C538">
        <v>1</v>
      </c>
      <c r="D538" t="s">
        <v>139</v>
      </c>
      <c r="E538" t="s">
        <v>139</v>
      </c>
      <c r="F538" t="s">
        <v>139</v>
      </c>
      <c r="G538" t="s">
        <v>139</v>
      </c>
      <c r="H538" t="s">
        <v>139</v>
      </c>
      <c r="I538" t="str">
        <f>_xlfn.XLOOKUP(H538,'SO-DIMM-i5'!A:A,'SO-DIMM-i5'!B:B,_xlfn.XLOOKUP(H538,'SO-DIMM-i5'!H:H,'SO-DIMM-i5'!G:G,""))</f>
        <v/>
      </c>
    </row>
    <row r="539" spans="1:9" hidden="1" x14ac:dyDescent="0.25">
      <c r="A539">
        <v>0</v>
      </c>
      <c r="B539" t="s">
        <v>588</v>
      </c>
      <c r="C539">
        <v>1</v>
      </c>
      <c r="D539" t="s">
        <v>139</v>
      </c>
      <c r="E539" t="s">
        <v>139</v>
      </c>
      <c r="F539" t="s">
        <v>139</v>
      </c>
      <c r="G539" t="s">
        <v>139</v>
      </c>
      <c r="H539" t="s">
        <v>139</v>
      </c>
      <c r="I539" t="str">
        <f>_xlfn.XLOOKUP(H539,'SO-DIMM-i5'!A:A,'SO-DIMM-i5'!B:B,_xlfn.XLOOKUP(H539,'SO-DIMM-i5'!H:H,'SO-DIMM-i5'!G:G,""))</f>
        <v/>
      </c>
    </row>
    <row r="540" spans="1:9" hidden="1" x14ac:dyDescent="0.25">
      <c r="A540">
        <v>0</v>
      </c>
      <c r="B540" t="s">
        <v>510</v>
      </c>
      <c r="C540">
        <v>2</v>
      </c>
      <c r="D540" t="s">
        <v>139</v>
      </c>
      <c r="E540" t="s">
        <v>139</v>
      </c>
      <c r="F540" t="s">
        <v>139</v>
      </c>
      <c r="G540" t="s">
        <v>139</v>
      </c>
      <c r="H540" t="s">
        <v>849</v>
      </c>
      <c r="I540" t="str">
        <f>_xlfn.XLOOKUP(H540,'SO-DIMM-i5'!A:A,'SO-DIMM-i5'!B:B,_xlfn.XLOOKUP(H540,'SO-DIMM-i5'!H:H,'SO-DIMM-i5'!G:G,""))</f>
        <v/>
      </c>
    </row>
    <row r="541" spans="1:9" hidden="1" x14ac:dyDescent="0.25">
      <c r="A541">
        <v>0</v>
      </c>
      <c r="B541" t="s">
        <v>510</v>
      </c>
      <c r="C541">
        <v>2</v>
      </c>
      <c r="D541" t="s">
        <v>139</v>
      </c>
      <c r="E541" t="s">
        <v>139</v>
      </c>
      <c r="F541" t="s">
        <v>139</v>
      </c>
      <c r="G541" t="s">
        <v>139</v>
      </c>
      <c r="H541" t="s">
        <v>850</v>
      </c>
      <c r="I541" t="str">
        <f>_xlfn.XLOOKUP(H541,'SO-DIMM-i5'!A:A,'SO-DIMM-i5'!B:B,_xlfn.XLOOKUP(H541,'SO-DIMM-i5'!H:H,'SO-DIMM-i5'!G:G,""))</f>
        <v/>
      </c>
    </row>
    <row r="542" spans="1:9" hidden="1" x14ac:dyDescent="0.25">
      <c r="A542">
        <v>0</v>
      </c>
      <c r="B542" t="s">
        <v>510</v>
      </c>
      <c r="C542">
        <v>2</v>
      </c>
      <c r="D542" t="s">
        <v>139</v>
      </c>
      <c r="E542" t="s">
        <v>139</v>
      </c>
      <c r="F542" t="s">
        <v>139</v>
      </c>
      <c r="G542" t="s">
        <v>139</v>
      </c>
      <c r="H542" t="s">
        <v>851</v>
      </c>
      <c r="I542" t="str">
        <f>_xlfn.XLOOKUP(H542,'SO-DIMM-i5'!A:A,'SO-DIMM-i5'!B:B,_xlfn.XLOOKUP(H542,'SO-DIMM-i5'!H:H,'SO-DIMM-i5'!G:G,""))</f>
        <v/>
      </c>
    </row>
    <row r="543" spans="1:9" hidden="1" x14ac:dyDescent="0.25">
      <c r="A543">
        <v>0</v>
      </c>
      <c r="B543" t="s">
        <v>510</v>
      </c>
      <c r="C543">
        <v>2</v>
      </c>
      <c r="D543" t="s">
        <v>139</v>
      </c>
      <c r="E543" t="s">
        <v>139</v>
      </c>
      <c r="F543" t="s">
        <v>139</v>
      </c>
      <c r="G543" t="s">
        <v>139</v>
      </c>
      <c r="H543" t="s">
        <v>139</v>
      </c>
      <c r="I543" t="str">
        <f>_xlfn.XLOOKUP(H543,'SO-DIMM-i5'!A:A,'SO-DIMM-i5'!B:B,_xlfn.XLOOKUP(H543,'SO-DIMM-i5'!H:H,'SO-DIMM-i5'!G:G,""))</f>
        <v/>
      </c>
    </row>
    <row r="544" spans="1:9" hidden="1" x14ac:dyDescent="0.25">
      <c r="A544">
        <v>0</v>
      </c>
      <c r="B544" t="s">
        <v>510</v>
      </c>
      <c r="C544">
        <v>2</v>
      </c>
      <c r="D544" t="s">
        <v>139</v>
      </c>
      <c r="E544" t="s">
        <v>139</v>
      </c>
      <c r="F544" t="s">
        <v>139</v>
      </c>
      <c r="G544" t="s">
        <v>139</v>
      </c>
      <c r="H544" t="s">
        <v>139</v>
      </c>
      <c r="I544" t="str">
        <f>_xlfn.XLOOKUP(H544,'SO-DIMM-i5'!A:A,'SO-DIMM-i5'!B:B,_xlfn.XLOOKUP(H544,'SO-DIMM-i5'!H:H,'SO-DIMM-i5'!G:G,""))</f>
        <v/>
      </c>
    </row>
    <row r="545" spans="1:9" hidden="1" x14ac:dyDescent="0.25">
      <c r="A545">
        <v>0</v>
      </c>
      <c r="B545" t="s">
        <v>510</v>
      </c>
      <c r="C545">
        <v>2</v>
      </c>
      <c r="D545" t="s">
        <v>139</v>
      </c>
      <c r="E545" t="s">
        <v>139</v>
      </c>
      <c r="F545" t="s">
        <v>139</v>
      </c>
      <c r="G545" t="s">
        <v>139</v>
      </c>
      <c r="H545" t="s">
        <v>139</v>
      </c>
      <c r="I545" t="str">
        <f>_xlfn.XLOOKUP(H545,'SO-DIMM-i5'!A:A,'SO-DIMM-i5'!B:B,_xlfn.XLOOKUP(H545,'SO-DIMM-i5'!H:H,'SO-DIMM-i5'!G:G,""))</f>
        <v/>
      </c>
    </row>
    <row r="546" spans="1:9" hidden="1" x14ac:dyDescent="0.25">
      <c r="A546">
        <v>0</v>
      </c>
      <c r="B546" t="s">
        <v>416</v>
      </c>
      <c r="C546">
        <v>3</v>
      </c>
      <c r="D546" t="s">
        <v>139</v>
      </c>
      <c r="E546" t="s">
        <v>139</v>
      </c>
      <c r="F546" t="s">
        <v>139</v>
      </c>
      <c r="G546" t="s">
        <v>139</v>
      </c>
      <c r="H546" t="s">
        <v>852</v>
      </c>
      <c r="I546" t="str">
        <f>_xlfn.XLOOKUP(H546,'SO-DIMM-i5'!A:A,'SO-DIMM-i5'!B:B,_xlfn.XLOOKUP(H546,'SO-DIMM-i5'!H:H,'SO-DIMM-i5'!G:G,""))</f>
        <v/>
      </c>
    </row>
    <row r="547" spans="1:9" hidden="1" x14ac:dyDescent="0.25">
      <c r="A547">
        <v>0</v>
      </c>
      <c r="B547" t="s">
        <v>416</v>
      </c>
      <c r="C547">
        <v>3</v>
      </c>
      <c r="D547" t="s">
        <v>139</v>
      </c>
      <c r="E547" t="s">
        <v>139</v>
      </c>
      <c r="F547" t="s">
        <v>139</v>
      </c>
      <c r="G547" t="s">
        <v>139</v>
      </c>
      <c r="H547" t="s">
        <v>853</v>
      </c>
      <c r="I547" t="str">
        <f>_xlfn.XLOOKUP(H547,'SO-DIMM-i5'!A:A,'SO-DIMM-i5'!B:B,_xlfn.XLOOKUP(H547,'SO-DIMM-i5'!H:H,'SO-DIMM-i5'!G:G,""))</f>
        <v/>
      </c>
    </row>
    <row r="548" spans="1:9" hidden="1" x14ac:dyDescent="0.25">
      <c r="A548">
        <v>0</v>
      </c>
      <c r="B548" t="s">
        <v>416</v>
      </c>
      <c r="C548">
        <v>3</v>
      </c>
      <c r="D548" t="s">
        <v>139</v>
      </c>
      <c r="E548" t="s">
        <v>139</v>
      </c>
      <c r="F548" t="s">
        <v>139</v>
      </c>
      <c r="G548" t="s">
        <v>139</v>
      </c>
      <c r="H548" t="s">
        <v>854</v>
      </c>
      <c r="I548" t="str">
        <f>_xlfn.XLOOKUP(H548,'SO-DIMM-i5'!A:A,'SO-DIMM-i5'!B:B,_xlfn.XLOOKUP(H548,'SO-DIMM-i5'!H:H,'SO-DIMM-i5'!G:G,""))</f>
        <v/>
      </c>
    </row>
    <row r="549" spans="1:9" hidden="1" x14ac:dyDescent="0.25">
      <c r="A549">
        <v>0</v>
      </c>
      <c r="B549" t="s">
        <v>416</v>
      </c>
      <c r="C549">
        <v>3</v>
      </c>
      <c r="D549" t="s">
        <v>139</v>
      </c>
      <c r="E549" t="s">
        <v>139</v>
      </c>
      <c r="F549" t="s">
        <v>139</v>
      </c>
      <c r="G549" t="s">
        <v>139</v>
      </c>
      <c r="H549" t="s">
        <v>139</v>
      </c>
      <c r="I549" t="str">
        <f>_xlfn.XLOOKUP(H549,'SO-DIMM-i5'!A:A,'SO-DIMM-i5'!B:B,_xlfn.XLOOKUP(H549,'SO-DIMM-i5'!H:H,'SO-DIMM-i5'!G:G,""))</f>
        <v/>
      </c>
    </row>
    <row r="550" spans="1:9" hidden="1" x14ac:dyDescent="0.25">
      <c r="A550">
        <v>0</v>
      </c>
      <c r="B550" t="s">
        <v>416</v>
      </c>
      <c r="C550">
        <v>3</v>
      </c>
      <c r="D550" t="s">
        <v>139</v>
      </c>
      <c r="E550" t="s">
        <v>139</v>
      </c>
      <c r="F550" t="s">
        <v>139</v>
      </c>
      <c r="G550" t="s">
        <v>139</v>
      </c>
      <c r="H550" t="s">
        <v>139</v>
      </c>
      <c r="I550" t="str">
        <f>_xlfn.XLOOKUP(H550,'SO-DIMM-i5'!A:A,'SO-DIMM-i5'!B:B,_xlfn.XLOOKUP(H550,'SO-DIMM-i5'!H:H,'SO-DIMM-i5'!G:G,""))</f>
        <v/>
      </c>
    </row>
    <row r="551" spans="1:9" hidden="1" x14ac:dyDescent="0.25">
      <c r="A551">
        <v>0</v>
      </c>
      <c r="B551" t="s">
        <v>416</v>
      </c>
      <c r="C551">
        <v>3</v>
      </c>
      <c r="D551" t="s">
        <v>139</v>
      </c>
      <c r="E551" t="s">
        <v>139</v>
      </c>
      <c r="F551" t="s">
        <v>139</v>
      </c>
      <c r="G551" t="s">
        <v>139</v>
      </c>
      <c r="H551" t="s">
        <v>139</v>
      </c>
      <c r="I551" t="str">
        <f>_xlfn.XLOOKUP(H551,'SO-DIMM-i5'!A:A,'SO-DIMM-i5'!B:B,_xlfn.XLOOKUP(H551,'SO-DIMM-i5'!H:H,'SO-DIMM-i5'!G:G,""))</f>
        <v/>
      </c>
    </row>
    <row r="552" spans="1:9" hidden="1" x14ac:dyDescent="0.25">
      <c r="A552">
        <v>0</v>
      </c>
      <c r="B552" t="s">
        <v>4</v>
      </c>
      <c r="C552" t="s">
        <v>139</v>
      </c>
      <c r="D552" t="s">
        <v>139</v>
      </c>
      <c r="E552" t="s">
        <v>139</v>
      </c>
      <c r="F552" t="s">
        <v>139</v>
      </c>
      <c r="G552" t="s">
        <v>139</v>
      </c>
      <c r="H552" t="s">
        <v>139</v>
      </c>
      <c r="I552" t="str">
        <f>_xlfn.XLOOKUP(H552,'SO-DIMM-i5'!A:A,'SO-DIMM-i5'!B:B,_xlfn.XLOOKUP(H552,'SO-DIMM-i5'!H:H,'SO-DIMM-i5'!G:G,""))</f>
        <v/>
      </c>
    </row>
    <row r="553" spans="1:9" hidden="1" x14ac:dyDescent="0.25">
      <c r="A553">
        <v>0</v>
      </c>
      <c r="B553" t="s">
        <v>4</v>
      </c>
      <c r="C553" t="s">
        <v>139</v>
      </c>
      <c r="D553" t="s">
        <v>139</v>
      </c>
      <c r="E553" t="s">
        <v>139</v>
      </c>
      <c r="F553" t="s">
        <v>139</v>
      </c>
      <c r="G553" t="s">
        <v>139</v>
      </c>
      <c r="H553" t="s">
        <v>855</v>
      </c>
      <c r="I553" t="str">
        <f>_xlfn.XLOOKUP(H553,'SO-DIMM-i5'!A:A,'SO-DIMM-i5'!B:B,_xlfn.XLOOKUP(H553,'SO-DIMM-i5'!H:H,'SO-DIMM-i5'!G:G,""))</f>
        <v/>
      </c>
    </row>
    <row r="554" spans="1:9" hidden="1" x14ac:dyDescent="0.25">
      <c r="A554">
        <v>0</v>
      </c>
      <c r="B554" t="s">
        <v>4</v>
      </c>
      <c r="C554" t="s">
        <v>139</v>
      </c>
      <c r="D554" t="s">
        <v>139</v>
      </c>
      <c r="E554" t="s">
        <v>139</v>
      </c>
      <c r="F554" t="s">
        <v>139</v>
      </c>
      <c r="G554" t="s">
        <v>139</v>
      </c>
      <c r="H554" t="s">
        <v>856</v>
      </c>
      <c r="I554" t="str">
        <f>_xlfn.XLOOKUP(H554,'SO-DIMM-i5'!A:A,'SO-DIMM-i5'!B:B,_xlfn.XLOOKUP(H554,'SO-DIMM-i5'!H:H,'SO-DIMM-i5'!G:G,""))</f>
        <v/>
      </c>
    </row>
    <row r="555" spans="1:9" hidden="1" x14ac:dyDescent="0.25">
      <c r="A555">
        <v>0</v>
      </c>
      <c r="B555" t="s">
        <v>4</v>
      </c>
      <c r="C555" t="s">
        <v>139</v>
      </c>
      <c r="D555" t="s">
        <v>139</v>
      </c>
      <c r="E555" t="s">
        <v>139</v>
      </c>
      <c r="F555" t="s">
        <v>139</v>
      </c>
      <c r="G555" t="s">
        <v>139</v>
      </c>
      <c r="H555" t="s">
        <v>857</v>
      </c>
      <c r="I555" t="str">
        <f>_xlfn.XLOOKUP(H555,'SO-DIMM-i5'!A:A,'SO-DIMM-i5'!B:B,_xlfn.XLOOKUP(H555,'SO-DIMM-i5'!H:H,'SO-DIMM-i5'!G:G,""))</f>
        <v/>
      </c>
    </row>
    <row r="556" spans="1:9" hidden="1" x14ac:dyDescent="0.25">
      <c r="A556">
        <v>0</v>
      </c>
      <c r="B556" t="s">
        <v>4</v>
      </c>
      <c r="C556" t="s">
        <v>139</v>
      </c>
      <c r="D556" t="s">
        <v>139</v>
      </c>
      <c r="E556" t="s">
        <v>139</v>
      </c>
      <c r="F556" t="s">
        <v>139</v>
      </c>
      <c r="G556" t="s">
        <v>139</v>
      </c>
      <c r="H556" t="s">
        <v>139</v>
      </c>
      <c r="I556" t="str">
        <f>_xlfn.XLOOKUP(H556,'SO-DIMM-i5'!A:A,'SO-DIMM-i5'!B:B,_xlfn.XLOOKUP(H556,'SO-DIMM-i5'!H:H,'SO-DIMM-i5'!G:G,""))</f>
        <v/>
      </c>
    </row>
    <row r="557" spans="1:9" hidden="1" x14ac:dyDescent="0.25">
      <c r="A557">
        <v>0</v>
      </c>
      <c r="B557" t="s">
        <v>4</v>
      </c>
      <c r="C557" t="s">
        <v>139</v>
      </c>
      <c r="D557" t="s">
        <v>139</v>
      </c>
      <c r="E557" t="s">
        <v>139</v>
      </c>
      <c r="F557" t="s">
        <v>139</v>
      </c>
      <c r="G557" t="s">
        <v>139</v>
      </c>
      <c r="H557" t="s">
        <v>139</v>
      </c>
      <c r="I557" t="str">
        <f>_xlfn.XLOOKUP(H557,'SO-DIMM-i5'!A:A,'SO-DIMM-i5'!B:B,_xlfn.XLOOKUP(H557,'SO-DIMM-i5'!H:H,'SO-DIMM-i5'!G:G,""))</f>
        <v/>
      </c>
    </row>
    <row r="558" spans="1:9" hidden="1" x14ac:dyDescent="0.25">
      <c r="A558">
        <v>0</v>
      </c>
      <c r="B558" t="s">
        <v>4</v>
      </c>
      <c r="C558" t="s">
        <v>139</v>
      </c>
      <c r="D558" t="s">
        <v>139</v>
      </c>
      <c r="E558" t="s">
        <v>139</v>
      </c>
      <c r="F558" t="s">
        <v>139</v>
      </c>
      <c r="G558" t="s">
        <v>139</v>
      </c>
      <c r="H558" t="s">
        <v>139</v>
      </c>
      <c r="I558" t="str">
        <f>_xlfn.XLOOKUP(H558,'SO-DIMM-i5'!A:A,'SO-DIMM-i5'!B:B,_xlfn.XLOOKUP(H558,'SO-DIMM-i5'!H:H,'SO-DIMM-i5'!G:G,""))</f>
        <v/>
      </c>
    </row>
    <row r="559" spans="1:9" hidden="1" x14ac:dyDescent="0.25">
      <c r="A559">
        <v>0</v>
      </c>
      <c r="B559" t="s">
        <v>4</v>
      </c>
      <c r="C559" t="s">
        <v>139</v>
      </c>
      <c r="D559" t="s">
        <v>139</v>
      </c>
      <c r="E559" t="s">
        <v>139</v>
      </c>
      <c r="F559" t="s">
        <v>139</v>
      </c>
      <c r="G559" t="s">
        <v>139</v>
      </c>
      <c r="H559" t="s">
        <v>139</v>
      </c>
      <c r="I559" t="str">
        <f>_xlfn.XLOOKUP(H559,'SO-DIMM-i5'!A:A,'SO-DIMM-i5'!B:B,_xlfn.XLOOKUP(H559,'SO-DIMM-i5'!H:H,'SO-DIMM-i5'!G:G,""))</f>
        <v/>
      </c>
    </row>
    <row r="560" spans="1:9" hidden="1" x14ac:dyDescent="0.25">
      <c r="A560">
        <v>0</v>
      </c>
      <c r="B560" t="s">
        <v>4</v>
      </c>
      <c r="C560" t="s">
        <v>139</v>
      </c>
      <c r="D560" t="s">
        <v>139</v>
      </c>
      <c r="E560" t="s">
        <v>139</v>
      </c>
      <c r="F560" t="s">
        <v>139</v>
      </c>
      <c r="G560" t="s">
        <v>139</v>
      </c>
      <c r="H560" t="s">
        <v>858</v>
      </c>
      <c r="I560" t="str">
        <f>_xlfn.XLOOKUP(H560,'SO-DIMM-i5'!A:A,'SO-DIMM-i5'!B:B,_xlfn.XLOOKUP(H560,'SO-DIMM-i5'!H:H,'SO-DIMM-i5'!G:G,""))</f>
        <v/>
      </c>
    </row>
    <row r="561" spans="1:9" hidden="1" x14ac:dyDescent="0.25">
      <c r="A561">
        <v>0</v>
      </c>
      <c r="B561" t="s">
        <v>4</v>
      </c>
      <c r="C561" t="s">
        <v>139</v>
      </c>
      <c r="D561" t="s">
        <v>139</v>
      </c>
      <c r="E561" t="s">
        <v>139</v>
      </c>
      <c r="F561" t="s">
        <v>139</v>
      </c>
      <c r="G561" t="s">
        <v>139</v>
      </c>
      <c r="H561" t="s">
        <v>859</v>
      </c>
      <c r="I561" t="str">
        <f>_xlfn.XLOOKUP(H561,'SO-DIMM-i5'!A:A,'SO-DIMM-i5'!B:B,_xlfn.XLOOKUP(H561,'SO-DIMM-i5'!H:H,'SO-DIMM-i5'!G:G,""))</f>
        <v/>
      </c>
    </row>
    <row r="562" spans="1:9" hidden="1" x14ac:dyDescent="0.25">
      <c r="A562">
        <v>0</v>
      </c>
      <c r="B562" t="s">
        <v>4</v>
      </c>
      <c r="C562" t="s">
        <v>139</v>
      </c>
      <c r="D562" t="s">
        <v>139</v>
      </c>
      <c r="E562" t="s">
        <v>139</v>
      </c>
      <c r="F562" t="s">
        <v>139</v>
      </c>
      <c r="G562" t="s">
        <v>139</v>
      </c>
      <c r="H562" t="s">
        <v>860</v>
      </c>
      <c r="I562" t="str">
        <f>_xlfn.XLOOKUP(H562,'SO-DIMM-i5'!A:A,'SO-DIMM-i5'!B:B,_xlfn.XLOOKUP(H562,'SO-DIMM-i5'!H:H,'SO-DIMM-i5'!G:G,""))</f>
        <v/>
      </c>
    </row>
    <row r="563" spans="1:9" hidden="1" x14ac:dyDescent="0.25">
      <c r="A563">
        <v>0</v>
      </c>
      <c r="B563" t="s">
        <v>4</v>
      </c>
      <c r="C563" t="s">
        <v>139</v>
      </c>
      <c r="D563" t="s">
        <v>139</v>
      </c>
      <c r="E563" t="s">
        <v>139</v>
      </c>
      <c r="F563" t="s">
        <v>139</v>
      </c>
      <c r="G563" t="s">
        <v>139</v>
      </c>
      <c r="H563" t="s">
        <v>139</v>
      </c>
      <c r="I563" t="str">
        <f>_xlfn.XLOOKUP(H563,'SO-DIMM-i5'!A:A,'SO-DIMM-i5'!B:B,_xlfn.XLOOKUP(H563,'SO-DIMM-i5'!H:H,'SO-DIMM-i5'!G:G,""))</f>
        <v/>
      </c>
    </row>
    <row r="564" spans="1:9" hidden="1" x14ac:dyDescent="0.25">
      <c r="A564">
        <v>0</v>
      </c>
      <c r="B564" t="s">
        <v>4</v>
      </c>
      <c r="C564" t="s">
        <v>139</v>
      </c>
      <c r="D564" t="s">
        <v>139</v>
      </c>
      <c r="E564" t="s">
        <v>139</v>
      </c>
      <c r="F564" t="s">
        <v>139</v>
      </c>
      <c r="G564" t="s">
        <v>139</v>
      </c>
      <c r="H564" t="s">
        <v>861</v>
      </c>
      <c r="I564" t="str">
        <f>_xlfn.XLOOKUP(H564,'SO-DIMM-i5'!A:A,'SO-DIMM-i5'!B:B,_xlfn.XLOOKUP(H564,'SO-DIMM-i5'!H:H,'SO-DIMM-i5'!G:G,""))</f>
        <v/>
      </c>
    </row>
    <row r="565" spans="1:9" hidden="1" x14ac:dyDescent="0.25">
      <c r="A565">
        <v>0</v>
      </c>
      <c r="B565" t="s">
        <v>4</v>
      </c>
      <c r="C565" t="s">
        <v>139</v>
      </c>
      <c r="D565" t="s">
        <v>139</v>
      </c>
      <c r="E565" t="s">
        <v>139</v>
      </c>
      <c r="F565" t="s">
        <v>139</v>
      </c>
      <c r="G565" t="s">
        <v>139</v>
      </c>
      <c r="H565" t="s">
        <v>139</v>
      </c>
      <c r="I565" t="str">
        <f>_xlfn.XLOOKUP(H565,'SO-DIMM-i5'!A:A,'SO-DIMM-i5'!B:B,_xlfn.XLOOKUP(H565,'SO-DIMM-i5'!H:H,'SO-DIMM-i5'!G:G,""))</f>
        <v/>
      </c>
    </row>
    <row r="566" spans="1:9" hidden="1" x14ac:dyDescent="0.25">
      <c r="A566">
        <v>0</v>
      </c>
      <c r="B566" t="s">
        <v>4</v>
      </c>
      <c r="C566" t="s">
        <v>139</v>
      </c>
      <c r="D566" t="s">
        <v>139</v>
      </c>
      <c r="E566" t="s">
        <v>139</v>
      </c>
      <c r="F566" t="s">
        <v>139</v>
      </c>
      <c r="G566" t="s">
        <v>139</v>
      </c>
      <c r="H566" t="s">
        <v>139</v>
      </c>
      <c r="I566" t="str">
        <f>_xlfn.XLOOKUP(H566,'SO-DIMM-i5'!A:A,'SO-DIMM-i5'!B:B,_xlfn.XLOOKUP(H566,'SO-DIMM-i5'!H:H,'SO-DIMM-i5'!G:G,""))</f>
        <v/>
      </c>
    </row>
    <row r="567" spans="1:9" hidden="1" x14ac:dyDescent="0.25">
      <c r="A567">
        <v>0</v>
      </c>
      <c r="B567" t="s">
        <v>4</v>
      </c>
      <c r="C567" t="s">
        <v>139</v>
      </c>
      <c r="D567" t="s">
        <v>139</v>
      </c>
      <c r="E567" t="s">
        <v>139</v>
      </c>
      <c r="F567" t="s">
        <v>139</v>
      </c>
      <c r="G567" t="s">
        <v>139</v>
      </c>
      <c r="H567" t="s">
        <v>862</v>
      </c>
      <c r="I567" t="str">
        <f>_xlfn.XLOOKUP(H567,'SO-DIMM-i5'!A:A,'SO-DIMM-i5'!B:B,_xlfn.XLOOKUP(H567,'SO-DIMM-i5'!H:H,'SO-DIMM-i5'!G:G,""))</f>
        <v/>
      </c>
    </row>
    <row r="568" spans="1:9" hidden="1" x14ac:dyDescent="0.25">
      <c r="A568">
        <v>0</v>
      </c>
      <c r="B568" t="s">
        <v>4</v>
      </c>
      <c r="C568" t="s">
        <v>139</v>
      </c>
      <c r="D568" t="s">
        <v>139</v>
      </c>
      <c r="E568" t="s">
        <v>139</v>
      </c>
      <c r="F568" t="s">
        <v>139</v>
      </c>
      <c r="G568" t="s">
        <v>139</v>
      </c>
      <c r="H568" t="s">
        <v>139</v>
      </c>
      <c r="I568" t="str">
        <f>_xlfn.XLOOKUP(H568,'SO-DIMM-i5'!A:A,'SO-DIMM-i5'!B:B,_xlfn.XLOOKUP(H568,'SO-DIMM-i5'!H:H,'SO-DIMM-i5'!G:G,""))</f>
        <v/>
      </c>
    </row>
    <row r="569" spans="1:9" hidden="1" x14ac:dyDescent="0.25">
      <c r="A569">
        <v>0</v>
      </c>
      <c r="B569" t="s">
        <v>4</v>
      </c>
      <c r="C569" t="s">
        <v>139</v>
      </c>
      <c r="D569" t="s">
        <v>139</v>
      </c>
      <c r="E569" t="s">
        <v>139</v>
      </c>
      <c r="F569" t="s">
        <v>139</v>
      </c>
      <c r="G569" t="s">
        <v>139</v>
      </c>
      <c r="H569" t="s">
        <v>139</v>
      </c>
      <c r="I569" t="str">
        <f>_xlfn.XLOOKUP(H569,'SO-DIMM-i5'!A:A,'SO-DIMM-i5'!B:B,_xlfn.XLOOKUP(H569,'SO-DIMM-i5'!H:H,'SO-DIMM-i5'!G:G,""))</f>
        <v/>
      </c>
    </row>
    <row r="570" spans="1:9" hidden="1" x14ac:dyDescent="0.25">
      <c r="A570">
        <v>0</v>
      </c>
      <c r="B570" t="s">
        <v>4</v>
      </c>
      <c r="C570" t="s">
        <v>139</v>
      </c>
      <c r="D570" t="s">
        <v>139</v>
      </c>
      <c r="E570" t="s">
        <v>139</v>
      </c>
      <c r="F570" t="s">
        <v>139</v>
      </c>
      <c r="G570" t="s">
        <v>139</v>
      </c>
      <c r="H570" t="s">
        <v>139</v>
      </c>
      <c r="I570" t="str">
        <f>_xlfn.XLOOKUP(H570,'SO-DIMM-i5'!A:A,'SO-DIMM-i5'!B:B,_xlfn.XLOOKUP(H570,'SO-DIMM-i5'!H:H,'SO-DIMM-i5'!G:G,""))</f>
        <v/>
      </c>
    </row>
    <row r="571" spans="1:9" hidden="1" x14ac:dyDescent="0.25">
      <c r="A571">
        <v>0</v>
      </c>
      <c r="B571" t="s">
        <v>4</v>
      </c>
      <c r="C571" t="s">
        <v>139</v>
      </c>
      <c r="D571" t="s">
        <v>139</v>
      </c>
      <c r="E571" t="s">
        <v>139</v>
      </c>
      <c r="F571" t="s">
        <v>139</v>
      </c>
      <c r="G571" t="s">
        <v>139</v>
      </c>
      <c r="H571" t="s">
        <v>863</v>
      </c>
      <c r="I571" t="str">
        <f>_xlfn.XLOOKUP(H571,'SO-DIMM-i5'!A:A,'SO-DIMM-i5'!B:B,_xlfn.XLOOKUP(H571,'SO-DIMM-i5'!H:H,'SO-DIMM-i5'!G:G,""))</f>
        <v/>
      </c>
    </row>
    <row r="572" spans="1:9" hidden="1" x14ac:dyDescent="0.25">
      <c r="A572">
        <v>0</v>
      </c>
      <c r="B572" t="s">
        <v>4</v>
      </c>
      <c r="C572" t="s">
        <v>139</v>
      </c>
      <c r="D572" t="s">
        <v>139</v>
      </c>
      <c r="E572" t="s">
        <v>139</v>
      </c>
      <c r="F572" t="s">
        <v>139</v>
      </c>
      <c r="G572" t="s">
        <v>139</v>
      </c>
      <c r="H572" t="s">
        <v>139</v>
      </c>
      <c r="I572" t="str">
        <f>_xlfn.XLOOKUP(H572,'SO-DIMM-i5'!A:A,'SO-DIMM-i5'!B:B,_xlfn.XLOOKUP(H572,'SO-DIMM-i5'!H:H,'SO-DIMM-i5'!G:G,""))</f>
        <v/>
      </c>
    </row>
    <row r="573" spans="1:9" hidden="1" x14ac:dyDescent="0.25">
      <c r="A573">
        <v>0</v>
      </c>
      <c r="B573" t="s">
        <v>4</v>
      </c>
      <c r="C573" t="s">
        <v>139</v>
      </c>
      <c r="D573" t="s">
        <v>139</v>
      </c>
      <c r="E573" t="s">
        <v>139</v>
      </c>
      <c r="F573" t="s">
        <v>139</v>
      </c>
      <c r="G573" t="s">
        <v>139</v>
      </c>
      <c r="H573" t="s">
        <v>864</v>
      </c>
      <c r="I573" t="str">
        <f>_xlfn.XLOOKUP(H573,'SO-DIMM-i5'!A:A,'SO-DIMM-i5'!B:B,_xlfn.XLOOKUP(H573,'SO-DIMM-i5'!H:H,'SO-DIMM-i5'!G:G,""))</f>
        <v/>
      </c>
    </row>
    <row r="574" spans="1:9" hidden="1" x14ac:dyDescent="0.25">
      <c r="A574">
        <v>0</v>
      </c>
      <c r="B574" t="s">
        <v>4</v>
      </c>
      <c r="C574" t="s">
        <v>139</v>
      </c>
      <c r="D574" t="s">
        <v>139</v>
      </c>
      <c r="E574" t="s">
        <v>139</v>
      </c>
      <c r="F574" t="s">
        <v>139</v>
      </c>
      <c r="G574" t="s">
        <v>139</v>
      </c>
      <c r="H574" t="s">
        <v>139</v>
      </c>
      <c r="I574" t="str">
        <f>_xlfn.XLOOKUP(H574,'SO-DIMM-i5'!A:A,'SO-DIMM-i5'!B:B,_xlfn.XLOOKUP(H574,'SO-DIMM-i5'!H:H,'SO-DIMM-i5'!G:G,""))</f>
        <v/>
      </c>
    </row>
    <row r="575" spans="1:9" hidden="1" x14ac:dyDescent="0.25">
      <c r="A575">
        <v>0</v>
      </c>
      <c r="B575" t="s">
        <v>4</v>
      </c>
      <c r="C575" t="s">
        <v>139</v>
      </c>
      <c r="D575" t="s">
        <v>139</v>
      </c>
      <c r="E575" t="s">
        <v>139</v>
      </c>
      <c r="F575" t="s">
        <v>139</v>
      </c>
      <c r="G575" t="s">
        <v>139</v>
      </c>
      <c r="H575" t="s">
        <v>865</v>
      </c>
      <c r="I575" t="str">
        <f>_xlfn.XLOOKUP(H575,'SO-DIMM-i5'!A:A,'SO-DIMM-i5'!B:B,_xlfn.XLOOKUP(H575,'SO-DIMM-i5'!H:H,'SO-DIMM-i5'!G:G,""))</f>
        <v/>
      </c>
    </row>
    <row r="576" spans="1:9" hidden="1" x14ac:dyDescent="0.25">
      <c r="A576">
        <v>0</v>
      </c>
      <c r="B576" t="s">
        <v>4</v>
      </c>
      <c r="C576" t="s">
        <v>139</v>
      </c>
      <c r="D576" t="s">
        <v>139</v>
      </c>
      <c r="E576" t="s">
        <v>139</v>
      </c>
      <c r="F576" t="s">
        <v>139</v>
      </c>
      <c r="G576" t="s">
        <v>139</v>
      </c>
      <c r="H576" t="s">
        <v>139</v>
      </c>
      <c r="I576" t="str">
        <f>_xlfn.XLOOKUP(H576,'SO-DIMM-i5'!A:A,'SO-DIMM-i5'!B:B,_xlfn.XLOOKUP(H576,'SO-DIMM-i5'!H:H,'SO-DIMM-i5'!G:G,""))</f>
        <v/>
      </c>
    </row>
    <row r="577" spans="1:9" hidden="1" x14ac:dyDescent="0.25">
      <c r="A577">
        <v>0</v>
      </c>
      <c r="B577" t="s">
        <v>4</v>
      </c>
      <c r="C577" t="s">
        <v>139</v>
      </c>
      <c r="D577" t="s">
        <v>139</v>
      </c>
      <c r="E577" t="s">
        <v>139</v>
      </c>
      <c r="F577" t="s">
        <v>139</v>
      </c>
      <c r="G577" t="s">
        <v>139</v>
      </c>
      <c r="H577" t="s">
        <v>866</v>
      </c>
      <c r="I577" t="str">
        <f>_xlfn.XLOOKUP(H577,'SO-DIMM-i5'!A:A,'SO-DIMM-i5'!B:B,_xlfn.XLOOKUP(H577,'SO-DIMM-i5'!H:H,'SO-DIMM-i5'!G:G,""))</f>
        <v/>
      </c>
    </row>
    <row r="578" spans="1:9" hidden="1" x14ac:dyDescent="0.25">
      <c r="A578">
        <v>0</v>
      </c>
      <c r="B578" t="s">
        <v>4</v>
      </c>
      <c r="C578" t="s">
        <v>139</v>
      </c>
      <c r="D578" t="s">
        <v>139</v>
      </c>
      <c r="E578" t="s">
        <v>139</v>
      </c>
      <c r="F578" t="s">
        <v>139</v>
      </c>
      <c r="G578" t="s">
        <v>139</v>
      </c>
      <c r="H578" t="s">
        <v>867</v>
      </c>
      <c r="I578" t="str">
        <f>_xlfn.XLOOKUP(H578,'SO-DIMM-i5'!A:A,'SO-DIMM-i5'!B:B,_xlfn.XLOOKUP(H578,'SO-DIMM-i5'!H:H,'SO-DIMM-i5'!G:G,""))</f>
        <v/>
      </c>
    </row>
    <row r="579" spans="1:9" hidden="1" x14ac:dyDescent="0.25">
      <c r="A579">
        <v>0</v>
      </c>
      <c r="B579" t="s">
        <v>4</v>
      </c>
      <c r="C579" t="s">
        <v>139</v>
      </c>
      <c r="D579" t="s">
        <v>139</v>
      </c>
      <c r="E579" t="s">
        <v>139</v>
      </c>
      <c r="F579" t="s">
        <v>139</v>
      </c>
      <c r="G579" t="s">
        <v>139</v>
      </c>
      <c r="H579" t="s">
        <v>139</v>
      </c>
      <c r="I579" t="str">
        <f>_xlfn.XLOOKUP(H579,'SO-DIMM-i5'!A:A,'SO-DIMM-i5'!B:B,_xlfn.XLOOKUP(H579,'SO-DIMM-i5'!H:H,'SO-DIMM-i5'!G:G,""))</f>
        <v/>
      </c>
    </row>
    <row r="580" spans="1:9" hidden="1" x14ac:dyDescent="0.25">
      <c r="A580">
        <v>0</v>
      </c>
      <c r="B580" t="s">
        <v>4</v>
      </c>
      <c r="C580" t="s">
        <v>139</v>
      </c>
      <c r="D580" t="s">
        <v>139</v>
      </c>
      <c r="E580" t="s">
        <v>139</v>
      </c>
      <c r="F580" t="s">
        <v>139</v>
      </c>
      <c r="G580" t="s">
        <v>139</v>
      </c>
      <c r="H580" t="s">
        <v>868</v>
      </c>
      <c r="I580" t="str">
        <f>_xlfn.XLOOKUP(H580,'SO-DIMM-i5'!A:A,'SO-DIMM-i5'!B:B,_xlfn.XLOOKUP(H580,'SO-DIMM-i5'!H:H,'SO-DIMM-i5'!G:G,""))</f>
        <v/>
      </c>
    </row>
    <row r="581" spans="1:9" hidden="1" x14ac:dyDescent="0.25">
      <c r="A581">
        <v>0</v>
      </c>
      <c r="B581" t="s">
        <v>4</v>
      </c>
      <c r="C581" t="s">
        <v>139</v>
      </c>
      <c r="D581" t="s">
        <v>139</v>
      </c>
      <c r="E581" t="s">
        <v>139</v>
      </c>
      <c r="F581" t="s">
        <v>139</v>
      </c>
      <c r="G581" t="s">
        <v>139</v>
      </c>
      <c r="H581" t="s">
        <v>139</v>
      </c>
      <c r="I581" t="str">
        <f>_xlfn.XLOOKUP(H581,'SO-DIMM-i5'!A:A,'SO-DIMM-i5'!B:B,_xlfn.XLOOKUP(H581,'SO-DIMM-i5'!H:H,'SO-DIMM-i5'!G:G,""))</f>
        <v/>
      </c>
    </row>
    <row r="582" spans="1:9" hidden="1" x14ac:dyDescent="0.25">
      <c r="A582">
        <v>0</v>
      </c>
      <c r="B582" t="s">
        <v>4</v>
      </c>
      <c r="C582" t="s">
        <v>139</v>
      </c>
      <c r="D582" t="s">
        <v>139</v>
      </c>
      <c r="E582" t="s">
        <v>139</v>
      </c>
      <c r="F582" t="s">
        <v>139</v>
      </c>
      <c r="G582" t="s">
        <v>139</v>
      </c>
      <c r="H582" t="s">
        <v>869</v>
      </c>
      <c r="I582" t="str">
        <f>_xlfn.XLOOKUP(H582,'SO-DIMM-i5'!A:A,'SO-DIMM-i5'!B:B,_xlfn.XLOOKUP(H582,'SO-DIMM-i5'!H:H,'SO-DIMM-i5'!G:G,""))</f>
        <v/>
      </c>
    </row>
    <row r="583" spans="1:9" hidden="1" x14ac:dyDescent="0.25">
      <c r="A583">
        <v>0</v>
      </c>
      <c r="B583" t="s">
        <v>4</v>
      </c>
      <c r="C583" t="s">
        <v>139</v>
      </c>
      <c r="D583" t="s">
        <v>139</v>
      </c>
      <c r="E583" t="s">
        <v>139</v>
      </c>
      <c r="F583" t="s">
        <v>139</v>
      </c>
      <c r="G583" t="s">
        <v>139</v>
      </c>
      <c r="H583" t="s">
        <v>139</v>
      </c>
      <c r="I583" t="str">
        <f>_xlfn.XLOOKUP(H583,'SO-DIMM-i5'!A:A,'SO-DIMM-i5'!B:B,_xlfn.XLOOKUP(H583,'SO-DIMM-i5'!H:H,'SO-DIMM-i5'!G:G,""))</f>
        <v/>
      </c>
    </row>
    <row r="584" spans="1:9" hidden="1" x14ac:dyDescent="0.25">
      <c r="A584">
        <v>0</v>
      </c>
      <c r="B584" t="s">
        <v>4</v>
      </c>
      <c r="C584" t="s">
        <v>139</v>
      </c>
      <c r="D584" t="s">
        <v>139</v>
      </c>
      <c r="E584" t="s">
        <v>139</v>
      </c>
      <c r="F584" t="s">
        <v>139</v>
      </c>
      <c r="G584" t="s">
        <v>139</v>
      </c>
      <c r="H584" t="s">
        <v>139</v>
      </c>
      <c r="I584" t="str">
        <f>_xlfn.XLOOKUP(H584,'SO-DIMM-i5'!A:A,'SO-DIMM-i5'!B:B,_xlfn.XLOOKUP(H584,'SO-DIMM-i5'!H:H,'SO-DIMM-i5'!G:G,""))</f>
        <v/>
      </c>
    </row>
    <row r="585" spans="1:9" hidden="1" x14ac:dyDescent="0.25">
      <c r="A585">
        <v>0</v>
      </c>
      <c r="B585" t="s">
        <v>4</v>
      </c>
      <c r="C585" t="s">
        <v>139</v>
      </c>
      <c r="D585" t="s">
        <v>139</v>
      </c>
      <c r="E585" t="s">
        <v>139</v>
      </c>
      <c r="F585" t="s">
        <v>139</v>
      </c>
      <c r="G585" t="s">
        <v>139</v>
      </c>
      <c r="H585" t="s">
        <v>870</v>
      </c>
      <c r="I585" t="str">
        <f>_xlfn.XLOOKUP(H585,'SO-DIMM-i5'!A:A,'SO-DIMM-i5'!B:B,_xlfn.XLOOKUP(H585,'SO-DIMM-i5'!H:H,'SO-DIMM-i5'!G:G,""))</f>
        <v/>
      </c>
    </row>
    <row r="586" spans="1:9" hidden="1" x14ac:dyDescent="0.25">
      <c r="A586">
        <v>0</v>
      </c>
      <c r="B586" t="s">
        <v>4</v>
      </c>
      <c r="C586" t="s">
        <v>139</v>
      </c>
      <c r="D586" t="s">
        <v>139</v>
      </c>
      <c r="E586" t="s">
        <v>139</v>
      </c>
      <c r="F586" t="s">
        <v>139</v>
      </c>
      <c r="G586" t="s">
        <v>139</v>
      </c>
      <c r="H586" t="s">
        <v>871</v>
      </c>
      <c r="I586" t="str">
        <f>_xlfn.XLOOKUP(H586,'SO-DIMM-i5'!A:A,'SO-DIMM-i5'!B:B,_xlfn.XLOOKUP(H586,'SO-DIMM-i5'!H:H,'SO-DIMM-i5'!G:G,""))</f>
        <v/>
      </c>
    </row>
    <row r="587" spans="1:9" hidden="1" x14ac:dyDescent="0.25">
      <c r="A587">
        <v>0</v>
      </c>
      <c r="B587" t="s">
        <v>4</v>
      </c>
      <c r="C587" t="s">
        <v>139</v>
      </c>
      <c r="D587" t="s">
        <v>139</v>
      </c>
      <c r="E587" t="s">
        <v>139</v>
      </c>
      <c r="F587" t="s">
        <v>139</v>
      </c>
      <c r="G587" t="s">
        <v>139</v>
      </c>
      <c r="H587" t="s">
        <v>872</v>
      </c>
      <c r="I587" t="str">
        <f>_xlfn.XLOOKUP(H587,'SO-DIMM-i5'!A:A,'SO-DIMM-i5'!B:B,_xlfn.XLOOKUP(H587,'SO-DIMM-i5'!H:H,'SO-DIMM-i5'!G:G,""))</f>
        <v/>
      </c>
    </row>
    <row r="588" spans="1:9" hidden="1" x14ac:dyDescent="0.25">
      <c r="A588">
        <v>0</v>
      </c>
      <c r="B588" t="s">
        <v>4</v>
      </c>
      <c r="C588" t="s">
        <v>139</v>
      </c>
      <c r="D588" t="s">
        <v>139</v>
      </c>
      <c r="E588" t="s">
        <v>139</v>
      </c>
      <c r="F588" t="s">
        <v>139</v>
      </c>
      <c r="G588" t="s">
        <v>139</v>
      </c>
      <c r="H588" t="s">
        <v>139</v>
      </c>
      <c r="I588" t="str">
        <f>_xlfn.XLOOKUP(H588,'SO-DIMM-i5'!A:A,'SO-DIMM-i5'!B:B,_xlfn.XLOOKUP(H588,'SO-DIMM-i5'!H:H,'SO-DIMM-i5'!G:G,""))</f>
        <v/>
      </c>
    </row>
    <row r="589" spans="1:9" hidden="1" x14ac:dyDescent="0.25">
      <c r="A589">
        <v>0</v>
      </c>
      <c r="B589" t="s">
        <v>4</v>
      </c>
      <c r="C589" t="s">
        <v>139</v>
      </c>
      <c r="D589" t="s">
        <v>139</v>
      </c>
      <c r="E589" t="s">
        <v>139</v>
      </c>
      <c r="F589" t="s">
        <v>139</v>
      </c>
      <c r="G589" t="s">
        <v>139</v>
      </c>
      <c r="H589" t="s">
        <v>873</v>
      </c>
      <c r="I589" t="str">
        <f>_xlfn.XLOOKUP(H589,'SO-DIMM-i5'!A:A,'SO-DIMM-i5'!B:B,_xlfn.XLOOKUP(H589,'SO-DIMM-i5'!H:H,'SO-DIMM-i5'!G:G,""))</f>
        <v/>
      </c>
    </row>
    <row r="590" spans="1:9" hidden="1" x14ac:dyDescent="0.25">
      <c r="A590">
        <v>0</v>
      </c>
      <c r="B590" t="s">
        <v>4</v>
      </c>
      <c r="C590" t="s">
        <v>139</v>
      </c>
      <c r="D590" t="s">
        <v>139</v>
      </c>
      <c r="E590" t="s">
        <v>139</v>
      </c>
      <c r="F590" t="s">
        <v>139</v>
      </c>
      <c r="G590" t="s">
        <v>139</v>
      </c>
      <c r="H590" t="s">
        <v>139</v>
      </c>
      <c r="I590" t="str">
        <f>_xlfn.XLOOKUP(H590,'SO-DIMM-i5'!A:A,'SO-DIMM-i5'!B:B,_xlfn.XLOOKUP(H590,'SO-DIMM-i5'!H:H,'SO-DIMM-i5'!G:G,""))</f>
        <v/>
      </c>
    </row>
    <row r="591" spans="1:9" hidden="1" x14ac:dyDescent="0.25">
      <c r="A591">
        <v>0</v>
      </c>
      <c r="B591" t="s">
        <v>4</v>
      </c>
      <c r="C591" t="s">
        <v>139</v>
      </c>
      <c r="D591" t="s">
        <v>139</v>
      </c>
      <c r="E591" t="s">
        <v>139</v>
      </c>
      <c r="F591" t="s">
        <v>139</v>
      </c>
      <c r="G591" t="s">
        <v>139</v>
      </c>
      <c r="H591" t="s">
        <v>874</v>
      </c>
      <c r="I591" t="str">
        <f>_xlfn.XLOOKUP(H591,'SO-DIMM-i5'!A:A,'SO-DIMM-i5'!B:B,_xlfn.XLOOKUP(H591,'SO-DIMM-i5'!H:H,'SO-DIMM-i5'!G:G,""))</f>
        <v/>
      </c>
    </row>
    <row r="592" spans="1:9" hidden="1" x14ac:dyDescent="0.25">
      <c r="A592">
        <v>0</v>
      </c>
      <c r="B592" t="s">
        <v>4</v>
      </c>
      <c r="C592" t="s">
        <v>139</v>
      </c>
      <c r="D592" t="s">
        <v>139</v>
      </c>
      <c r="E592" t="s">
        <v>139</v>
      </c>
      <c r="F592" t="s">
        <v>139</v>
      </c>
      <c r="G592" t="s">
        <v>139</v>
      </c>
      <c r="H592" t="s">
        <v>139</v>
      </c>
      <c r="I592" t="str">
        <f>_xlfn.XLOOKUP(H592,'SO-DIMM-i5'!A:A,'SO-DIMM-i5'!B:B,_xlfn.XLOOKUP(H592,'SO-DIMM-i5'!H:H,'SO-DIMM-i5'!G:G,""))</f>
        <v/>
      </c>
    </row>
    <row r="593" spans="1:9" hidden="1" x14ac:dyDescent="0.25">
      <c r="A593">
        <v>0</v>
      </c>
      <c r="B593" t="s">
        <v>4</v>
      </c>
      <c r="C593" t="s">
        <v>139</v>
      </c>
      <c r="D593" t="s">
        <v>139</v>
      </c>
      <c r="E593" t="s">
        <v>139</v>
      </c>
      <c r="F593" t="s">
        <v>139</v>
      </c>
      <c r="G593" t="s">
        <v>139</v>
      </c>
      <c r="H593" t="s">
        <v>139</v>
      </c>
      <c r="I593" t="str">
        <f>_xlfn.XLOOKUP(H593,'SO-DIMM-i5'!A:A,'SO-DIMM-i5'!B:B,_xlfn.XLOOKUP(H593,'SO-DIMM-i5'!H:H,'SO-DIMM-i5'!G:G,""))</f>
        <v/>
      </c>
    </row>
    <row r="594" spans="1:9" hidden="1" x14ac:dyDescent="0.25">
      <c r="A594">
        <v>0</v>
      </c>
      <c r="B594" t="s">
        <v>4</v>
      </c>
      <c r="C594" t="s">
        <v>139</v>
      </c>
      <c r="D594" t="s">
        <v>139</v>
      </c>
      <c r="E594" t="s">
        <v>139</v>
      </c>
      <c r="F594" t="s">
        <v>139</v>
      </c>
      <c r="G594" t="s">
        <v>139</v>
      </c>
      <c r="H594" t="s">
        <v>139</v>
      </c>
      <c r="I594" t="str">
        <f>_xlfn.XLOOKUP(H594,'SO-DIMM-i5'!A:A,'SO-DIMM-i5'!B:B,_xlfn.XLOOKUP(H594,'SO-DIMM-i5'!H:H,'SO-DIMM-i5'!G:G,""))</f>
        <v/>
      </c>
    </row>
    <row r="595" spans="1:9" hidden="1" x14ac:dyDescent="0.25">
      <c r="A595">
        <v>0</v>
      </c>
      <c r="B595" t="s">
        <v>4</v>
      </c>
      <c r="C595" t="s">
        <v>139</v>
      </c>
      <c r="D595" t="s">
        <v>139</v>
      </c>
      <c r="E595" t="s">
        <v>139</v>
      </c>
      <c r="F595" t="s">
        <v>139</v>
      </c>
      <c r="G595" t="s">
        <v>139</v>
      </c>
      <c r="H595" t="s">
        <v>139</v>
      </c>
      <c r="I595" t="str">
        <f>_xlfn.XLOOKUP(H595,'SO-DIMM-i5'!A:A,'SO-DIMM-i5'!B:B,_xlfn.XLOOKUP(H595,'SO-DIMM-i5'!H:H,'SO-DIMM-i5'!G:G,""))</f>
        <v/>
      </c>
    </row>
    <row r="596" spans="1:9" hidden="1" x14ac:dyDescent="0.25">
      <c r="A596">
        <v>0</v>
      </c>
      <c r="B596" t="s">
        <v>4</v>
      </c>
      <c r="C596" t="s">
        <v>139</v>
      </c>
      <c r="D596" t="s">
        <v>139</v>
      </c>
      <c r="E596" t="s">
        <v>139</v>
      </c>
      <c r="F596" t="s">
        <v>139</v>
      </c>
      <c r="G596" t="s">
        <v>139</v>
      </c>
      <c r="H596" t="s">
        <v>139</v>
      </c>
      <c r="I596" t="str">
        <f>_xlfn.XLOOKUP(H596,'SO-DIMM-i5'!A:A,'SO-DIMM-i5'!B:B,_xlfn.XLOOKUP(H596,'SO-DIMM-i5'!H:H,'SO-DIMM-i5'!G:G,""))</f>
        <v/>
      </c>
    </row>
    <row r="597" spans="1:9" hidden="1" x14ac:dyDescent="0.25">
      <c r="A597">
        <v>0</v>
      </c>
      <c r="B597" t="s">
        <v>4</v>
      </c>
      <c r="C597" t="s">
        <v>139</v>
      </c>
      <c r="D597" t="s">
        <v>139</v>
      </c>
      <c r="E597" t="s">
        <v>139</v>
      </c>
      <c r="F597" t="s">
        <v>139</v>
      </c>
      <c r="G597" t="s">
        <v>139</v>
      </c>
      <c r="H597" t="s">
        <v>875</v>
      </c>
      <c r="I597" t="str">
        <f>_xlfn.XLOOKUP(H597,'SO-DIMM-i5'!A:A,'SO-DIMM-i5'!B:B,_xlfn.XLOOKUP(H597,'SO-DIMM-i5'!H:H,'SO-DIMM-i5'!G:G,""))</f>
        <v/>
      </c>
    </row>
    <row r="598" spans="1:9" hidden="1" x14ac:dyDescent="0.25">
      <c r="A598">
        <v>0</v>
      </c>
      <c r="B598" t="s">
        <v>4</v>
      </c>
      <c r="C598" t="s">
        <v>139</v>
      </c>
      <c r="D598" t="s">
        <v>139</v>
      </c>
      <c r="E598" t="s">
        <v>139</v>
      </c>
      <c r="F598" t="s">
        <v>139</v>
      </c>
      <c r="G598" t="s">
        <v>139</v>
      </c>
      <c r="H598" t="s">
        <v>876</v>
      </c>
      <c r="I598" t="str">
        <f>_xlfn.XLOOKUP(H598,'SO-DIMM-i5'!A:A,'SO-DIMM-i5'!B:B,_xlfn.XLOOKUP(H598,'SO-DIMM-i5'!H:H,'SO-DIMM-i5'!G:G,""))</f>
        <v/>
      </c>
    </row>
    <row r="599" spans="1:9" hidden="1" x14ac:dyDescent="0.25">
      <c r="A599">
        <v>0</v>
      </c>
      <c r="B599" t="s">
        <v>4</v>
      </c>
      <c r="C599" t="s">
        <v>139</v>
      </c>
      <c r="D599" t="s">
        <v>139</v>
      </c>
      <c r="E599" t="s">
        <v>139</v>
      </c>
      <c r="F599" t="s">
        <v>139</v>
      </c>
      <c r="G599" t="s">
        <v>139</v>
      </c>
      <c r="H599" t="s">
        <v>877</v>
      </c>
      <c r="I599" t="str">
        <f>_xlfn.XLOOKUP(H599,'SO-DIMM-i5'!A:A,'SO-DIMM-i5'!B:B,_xlfn.XLOOKUP(H599,'SO-DIMM-i5'!H:H,'SO-DIMM-i5'!G:G,""))</f>
        <v/>
      </c>
    </row>
    <row r="600" spans="1:9" hidden="1" x14ac:dyDescent="0.25">
      <c r="A600">
        <v>0</v>
      </c>
      <c r="B600" t="s">
        <v>4</v>
      </c>
      <c r="C600" t="s">
        <v>139</v>
      </c>
      <c r="D600" t="s">
        <v>139</v>
      </c>
      <c r="E600" t="s">
        <v>139</v>
      </c>
      <c r="F600" t="s">
        <v>139</v>
      </c>
      <c r="G600" t="s">
        <v>139</v>
      </c>
      <c r="H600" t="s">
        <v>878</v>
      </c>
      <c r="I600" t="str">
        <f>_xlfn.XLOOKUP(H600,'SO-DIMM-i5'!A:A,'SO-DIMM-i5'!B:B,_xlfn.XLOOKUP(H600,'SO-DIMM-i5'!H:H,'SO-DIMM-i5'!G:G,""))</f>
        <v/>
      </c>
    </row>
    <row r="601" spans="1:9" hidden="1" x14ac:dyDescent="0.25">
      <c r="A601">
        <v>0</v>
      </c>
      <c r="B601" t="s">
        <v>4</v>
      </c>
      <c r="C601" t="s">
        <v>139</v>
      </c>
      <c r="D601" t="s">
        <v>139</v>
      </c>
      <c r="E601" t="s">
        <v>139</v>
      </c>
      <c r="F601" t="s">
        <v>139</v>
      </c>
      <c r="G601" t="s">
        <v>139</v>
      </c>
      <c r="H601" t="s">
        <v>879</v>
      </c>
      <c r="I601" t="str">
        <f>_xlfn.XLOOKUP(H601,'SO-DIMM-i5'!A:A,'SO-DIMM-i5'!B:B,_xlfn.XLOOKUP(H601,'SO-DIMM-i5'!H:H,'SO-DIMM-i5'!G:G,""))</f>
        <v/>
      </c>
    </row>
    <row r="602" spans="1:9" hidden="1" x14ac:dyDescent="0.25">
      <c r="A602">
        <v>0</v>
      </c>
      <c r="B602" t="s">
        <v>4</v>
      </c>
      <c r="C602" t="s">
        <v>139</v>
      </c>
      <c r="D602" t="s">
        <v>139</v>
      </c>
      <c r="E602" t="s">
        <v>139</v>
      </c>
      <c r="F602" t="s">
        <v>139</v>
      </c>
      <c r="G602" t="s">
        <v>139</v>
      </c>
      <c r="H602" t="s">
        <v>880</v>
      </c>
      <c r="I602" t="str">
        <f>_xlfn.XLOOKUP(H602,'SO-DIMM-i5'!A:A,'SO-DIMM-i5'!B:B,_xlfn.XLOOKUP(H602,'SO-DIMM-i5'!H:H,'SO-DIMM-i5'!G:G,""))</f>
        <v/>
      </c>
    </row>
    <row r="603" spans="1:9" hidden="1" x14ac:dyDescent="0.25">
      <c r="A603">
        <v>0</v>
      </c>
      <c r="B603" t="s">
        <v>4</v>
      </c>
      <c r="C603" t="s">
        <v>139</v>
      </c>
      <c r="D603" t="s">
        <v>139</v>
      </c>
      <c r="E603" t="s">
        <v>139</v>
      </c>
      <c r="F603" t="s">
        <v>139</v>
      </c>
      <c r="G603" t="s">
        <v>139</v>
      </c>
      <c r="H603" t="s">
        <v>881</v>
      </c>
      <c r="I603" t="str">
        <f>_xlfn.XLOOKUP(H603,'SO-DIMM-i5'!A:A,'SO-DIMM-i5'!B:B,_xlfn.XLOOKUP(H603,'SO-DIMM-i5'!H:H,'SO-DIMM-i5'!G:G,""))</f>
        <v/>
      </c>
    </row>
    <row r="604" spans="1:9" hidden="1" x14ac:dyDescent="0.25">
      <c r="A604">
        <v>0</v>
      </c>
      <c r="B604" t="s">
        <v>4</v>
      </c>
      <c r="C604" t="s">
        <v>139</v>
      </c>
      <c r="D604" t="s">
        <v>139</v>
      </c>
      <c r="E604" t="s">
        <v>139</v>
      </c>
      <c r="F604" t="s">
        <v>139</v>
      </c>
      <c r="G604" t="s">
        <v>139</v>
      </c>
      <c r="H604" t="s">
        <v>882</v>
      </c>
      <c r="I604" t="str">
        <f>_xlfn.XLOOKUP(H604,'SO-DIMM-i5'!A:A,'SO-DIMM-i5'!B:B,_xlfn.XLOOKUP(H604,'SO-DIMM-i5'!H:H,'SO-DIMM-i5'!G:G,""))</f>
        <v/>
      </c>
    </row>
    <row r="605" spans="1:9" hidden="1" x14ac:dyDescent="0.25">
      <c r="A605">
        <v>0</v>
      </c>
      <c r="B605" t="s">
        <v>4</v>
      </c>
      <c r="C605" t="s">
        <v>139</v>
      </c>
      <c r="D605" t="s">
        <v>139</v>
      </c>
      <c r="E605" t="s">
        <v>139</v>
      </c>
      <c r="F605" t="s">
        <v>139</v>
      </c>
      <c r="G605" t="s">
        <v>139</v>
      </c>
      <c r="H605" t="s">
        <v>139</v>
      </c>
      <c r="I605" t="str">
        <f>_xlfn.XLOOKUP(H605,'SO-DIMM-i5'!A:A,'SO-DIMM-i5'!B:B,_xlfn.XLOOKUP(H605,'SO-DIMM-i5'!H:H,'SO-DIMM-i5'!G:G,""))</f>
        <v/>
      </c>
    </row>
    <row r="606" spans="1:9" hidden="1" x14ac:dyDescent="0.25">
      <c r="A606">
        <v>0</v>
      </c>
      <c r="B606" t="s">
        <v>4</v>
      </c>
      <c r="C606" t="s">
        <v>139</v>
      </c>
      <c r="D606" t="s">
        <v>139</v>
      </c>
      <c r="E606" t="s">
        <v>139</v>
      </c>
      <c r="F606" t="s">
        <v>139</v>
      </c>
      <c r="G606" t="s">
        <v>139</v>
      </c>
      <c r="H606" t="s">
        <v>139</v>
      </c>
      <c r="I606" t="str">
        <f>_xlfn.XLOOKUP(H606,'SO-DIMM-i5'!A:A,'SO-DIMM-i5'!B:B,_xlfn.XLOOKUP(H606,'SO-DIMM-i5'!H:H,'SO-DIMM-i5'!G:G,""))</f>
        <v/>
      </c>
    </row>
    <row r="607" spans="1:9" hidden="1" x14ac:dyDescent="0.25">
      <c r="A607">
        <v>0</v>
      </c>
      <c r="B607" t="s">
        <v>4</v>
      </c>
      <c r="C607" t="s">
        <v>139</v>
      </c>
      <c r="D607" t="s">
        <v>139</v>
      </c>
      <c r="E607" t="s">
        <v>139</v>
      </c>
      <c r="F607" t="s">
        <v>139</v>
      </c>
      <c r="G607" t="s">
        <v>139</v>
      </c>
      <c r="H607" t="s">
        <v>139</v>
      </c>
      <c r="I607" t="str">
        <f>_xlfn.XLOOKUP(H607,'SO-DIMM-i5'!A:A,'SO-DIMM-i5'!B:B,_xlfn.XLOOKUP(H607,'SO-DIMM-i5'!H:H,'SO-DIMM-i5'!G:G,""))</f>
        <v/>
      </c>
    </row>
    <row r="608" spans="1:9" hidden="1" x14ac:dyDescent="0.25">
      <c r="A608">
        <v>0</v>
      </c>
      <c r="B608" t="s">
        <v>4</v>
      </c>
      <c r="C608" t="s">
        <v>139</v>
      </c>
      <c r="D608" t="s">
        <v>139</v>
      </c>
      <c r="E608" t="s">
        <v>139</v>
      </c>
      <c r="F608" t="s">
        <v>139</v>
      </c>
      <c r="G608" t="s">
        <v>139</v>
      </c>
      <c r="H608" t="s">
        <v>139</v>
      </c>
      <c r="I608" t="str">
        <f>_xlfn.XLOOKUP(H608,'SO-DIMM-i5'!A:A,'SO-DIMM-i5'!B:B,_xlfn.XLOOKUP(H608,'SO-DIMM-i5'!H:H,'SO-DIMM-i5'!G:G,""))</f>
        <v/>
      </c>
    </row>
    <row r="609" spans="1:9" hidden="1" x14ac:dyDescent="0.25">
      <c r="A609">
        <v>0</v>
      </c>
      <c r="B609" t="s">
        <v>4</v>
      </c>
      <c r="C609" t="s">
        <v>139</v>
      </c>
      <c r="D609" t="s">
        <v>139</v>
      </c>
      <c r="E609" t="s">
        <v>139</v>
      </c>
      <c r="F609" t="s">
        <v>139</v>
      </c>
      <c r="G609" t="s">
        <v>139</v>
      </c>
      <c r="H609" t="s">
        <v>139</v>
      </c>
      <c r="I609" t="str">
        <f>_xlfn.XLOOKUP(H609,'SO-DIMM-i5'!A:A,'SO-DIMM-i5'!B:B,_xlfn.XLOOKUP(H609,'SO-DIMM-i5'!H:H,'SO-DIMM-i5'!G:G,""))</f>
        <v/>
      </c>
    </row>
    <row r="610" spans="1:9" hidden="1" x14ac:dyDescent="0.25">
      <c r="A610">
        <v>0</v>
      </c>
      <c r="B610" t="s">
        <v>4</v>
      </c>
      <c r="C610" t="s">
        <v>139</v>
      </c>
      <c r="D610" t="s">
        <v>139</v>
      </c>
      <c r="E610" t="s">
        <v>139</v>
      </c>
      <c r="F610" t="s">
        <v>139</v>
      </c>
      <c r="G610" t="s">
        <v>139</v>
      </c>
      <c r="H610" t="s">
        <v>139</v>
      </c>
      <c r="I610" t="str">
        <f>_xlfn.XLOOKUP(H610,'SO-DIMM-i5'!A:A,'SO-DIMM-i5'!B:B,_xlfn.XLOOKUP(H610,'SO-DIMM-i5'!H:H,'SO-DIMM-i5'!G:G,""))</f>
        <v/>
      </c>
    </row>
    <row r="611" spans="1:9" hidden="1" x14ac:dyDescent="0.25">
      <c r="A611">
        <v>0</v>
      </c>
      <c r="B611" t="s">
        <v>4</v>
      </c>
      <c r="C611" t="s">
        <v>139</v>
      </c>
      <c r="D611" t="s">
        <v>139</v>
      </c>
      <c r="E611" t="s">
        <v>139</v>
      </c>
      <c r="F611" t="s">
        <v>139</v>
      </c>
      <c r="G611" t="s">
        <v>139</v>
      </c>
      <c r="H611" t="s">
        <v>139</v>
      </c>
      <c r="I611" t="str">
        <f>_xlfn.XLOOKUP(H611,'SO-DIMM-i5'!A:A,'SO-DIMM-i5'!B:B,_xlfn.XLOOKUP(H611,'SO-DIMM-i5'!H:H,'SO-DIMM-i5'!G:G,""))</f>
        <v/>
      </c>
    </row>
    <row r="612" spans="1:9" hidden="1" x14ac:dyDescent="0.25">
      <c r="A612">
        <v>0</v>
      </c>
      <c r="B612" t="s">
        <v>4</v>
      </c>
      <c r="C612" t="s">
        <v>139</v>
      </c>
      <c r="D612" t="s">
        <v>139</v>
      </c>
      <c r="E612" t="s">
        <v>139</v>
      </c>
      <c r="F612" t="s">
        <v>139</v>
      </c>
      <c r="G612" t="s">
        <v>139</v>
      </c>
      <c r="H612" t="s">
        <v>139</v>
      </c>
      <c r="I612" t="str">
        <f>_xlfn.XLOOKUP(H612,'SO-DIMM-i5'!A:A,'SO-DIMM-i5'!B:B,_xlfn.XLOOKUP(H612,'SO-DIMM-i5'!H:H,'SO-DIMM-i5'!G:G,""))</f>
        <v/>
      </c>
    </row>
    <row r="613" spans="1:9" hidden="1" x14ac:dyDescent="0.25">
      <c r="A613">
        <v>0</v>
      </c>
      <c r="B613" t="s">
        <v>4</v>
      </c>
      <c r="C613" t="s">
        <v>139</v>
      </c>
      <c r="D613" t="s">
        <v>139</v>
      </c>
      <c r="E613" t="s">
        <v>139</v>
      </c>
      <c r="F613" t="s">
        <v>139</v>
      </c>
      <c r="G613" t="s">
        <v>139</v>
      </c>
      <c r="H613" t="s">
        <v>139</v>
      </c>
      <c r="I613" t="str">
        <f>_xlfn.XLOOKUP(H613,'SO-DIMM-i5'!A:A,'SO-DIMM-i5'!B:B,_xlfn.XLOOKUP(H613,'SO-DIMM-i5'!H:H,'SO-DIMM-i5'!G:G,""))</f>
        <v/>
      </c>
    </row>
    <row r="614" spans="1:9" hidden="1" x14ac:dyDescent="0.25">
      <c r="A614">
        <v>0</v>
      </c>
      <c r="B614" t="s">
        <v>4</v>
      </c>
      <c r="C614" t="s">
        <v>139</v>
      </c>
      <c r="D614" t="s">
        <v>139</v>
      </c>
      <c r="E614" t="s">
        <v>139</v>
      </c>
      <c r="F614" t="s">
        <v>139</v>
      </c>
      <c r="G614" t="s">
        <v>139</v>
      </c>
      <c r="H614" t="s">
        <v>139</v>
      </c>
      <c r="I614" t="str">
        <f>_xlfn.XLOOKUP(H614,'SO-DIMM-i5'!A:A,'SO-DIMM-i5'!B:B,_xlfn.XLOOKUP(H614,'SO-DIMM-i5'!H:H,'SO-DIMM-i5'!G:G,""))</f>
        <v/>
      </c>
    </row>
    <row r="615" spans="1:9" hidden="1" x14ac:dyDescent="0.25">
      <c r="A615">
        <v>0</v>
      </c>
      <c r="B615" t="s">
        <v>4</v>
      </c>
      <c r="C615" t="s">
        <v>139</v>
      </c>
      <c r="D615" t="s">
        <v>139</v>
      </c>
      <c r="E615" t="s">
        <v>139</v>
      </c>
      <c r="F615" t="s">
        <v>139</v>
      </c>
      <c r="G615" t="s">
        <v>139</v>
      </c>
      <c r="H615" t="s">
        <v>139</v>
      </c>
      <c r="I615" t="str">
        <f>_xlfn.XLOOKUP(H615,'SO-DIMM-i5'!A:A,'SO-DIMM-i5'!B:B,_xlfn.XLOOKUP(H615,'SO-DIMM-i5'!H:H,'SO-DIMM-i5'!G:G,""))</f>
        <v/>
      </c>
    </row>
    <row r="616" spans="1:9" hidden="1" x14ac:dyDescent="0.25">
      <c r="A616">
        <v>0</v>
      </c>
      <c r="B616" t="s">
        <v>4</v>
      </c>
      <c r="C616" t="s">
        <v>139</v>
      </c>
      <c r="D616" t="s">
        <v>139</v>
      </c>
      <c r="E616" t="s">
        <v>139</v>
      </c>
      <c r="F616" t="s">
        <v>139</v>
      </c>
      <c r="G616" t="s">
        <v>139</v>
      </c>
      <c r="H616" t="s">
        <v>139</v>
      </c>
      <c r="I616" t="str">
        <f>_xlfn.XLOOKUP(H616,'SO-DIMM-i5'!A:A,'SO-DIMM-i5'!B:B,_xlfn.XLOOKUP(H616,'SO-DIMM-i5'!H:H,'SO-DIMM-i5'!G:G,""))</f>
        <v/>
      </c>
    </row>
    <row r="617" spans="1:9" hidden="1" x14ac:dyDescent="0.25">
      <c r="A617">
        <v>0</v>
      </c>
      <c r="B617" t="s">
        <v>4</v>
      </c>
      <c r="C617" t="s">
        <v>139</v>
      </c>
      <c r="D617" t="s">
        <v>139</v>
      </c>
      <c r="E617" t="s">
        <v>139</v>
      </c>
      <c r="F617" t="s">
        <v>139</v>
      </c>
      <c r="G617" t="s">
        <v>139</v>
      </c>
      <c r="H617" t="s">
        <v>139</v>
      </c>
      <c r="I617" t="str">
        <f>_xlfn.XLOOKUP(H617,'SO-DIMM-i5'!A:A,'SO-DIMM-i5'!B:B,_xlfn.XLOOKUP(H617,'SO-DIMM-i5'!H:H,'SO-DIMM-i5'!G:G,""))</f>
        <v/>
      </c>
    </row>
    <row r="618" spans="1:9" hidden="1" x14ac:dyDescent="0.25">
      <c r="A618">
        <v>0</v>
      </c>
      <c r="B618" t="s">
        <v>4</v>
      </c>
      <c r="C618" t="s">
        <v>139</v>
      </c>
      <c r="D618" t="s">
        <v>139</v>
      </c>
      <c r="E618" t="s">
        <v>139</v>
      </c>
      <c r="F618" t="s">
        <v>139</v>
      </c>
      <c r="G618" t="s">
        <v>139</v>
      </c>
      <c r="H618" t="s">
        <v>139</v>
      </c>
      <c r="I618" t="str">
        <f>_xlfn.XLOOKUP(H618,'SO-DIMM-i5'!A:A,'SO-DIMM-i5'!B:B,_xlfn.XLOOKUP(H618,'SO-DIMM-i5'!H:H,'SO-DIMM-i5'!G:G,""))</f>
        <v/>
      </c>
    </row>
    <row r="619" spans="1:9" hidden="1" x14ac:dyDescent="0.25">
      <c r="A619">
        <v>0</v>
      </c>
      <c r="B619" t="s">
        <v>4</v>
      </c>
      <c r="C619" t="s">
        <v>139</v>
      </c>
      <c r="D619" t="s">
        <v>139</v>
      </c>
      <c r="E619" t="s">
        <v>139</v>
      </c>
      <c r="F619" t="s">
        <v>139</v>
      </c>
      <c r="G619" t="s">
        <v>139</v>
      </c>
      <c r="H619" t="s">
        <v>139</v>
      </c>
      <c r="I619" t="str">
        <f>_xlfn.XLOOKUP(H619,'SO-DIMM-i5'!A:A,'SO-DIMM-i5'!B:B,_xlfn.XLOOKUP(H619,'SO-DIMM-i5'!H:H,'SO-DIMM-i5'!G:G,""))</f>
        <v/>
      </c>
    </row>
    <row r="620" spans="1:9" hidden="1" x14ac:dyDescent="0.25">
      <c r="A620">
        <v>0</v>
      </c>
      <c r="B620" t="s">
        <v>4</v>
      </c>
      <c r="C620" t="s">
        <v>139</v>
      </c>
      <c r="D620" t="s">
        <v>139</v>
      </c>
      <c r="E620" t="s">
        <v>139</v>
      </c>
      <c r="F620" t="s">
        <v>139</v>
      </c>
      <c r="G620" t="s">
        <v>139</v>
      </c>
      <c r="H620" t="s">
        <v>139</v>
      </c>
      <c r="I620" t="str">
        <f>_xlfn.XLOOKUP(H620,'SO-DIMM-i5'!A:A,'SO-DIMM-i5'!B:B,_xlfn.XLOOKUP(H620,'SO-DIMM-i5'!H:H,'SO-DIMM-i5'!G:G,""))</f>
        <v/>
      </c>
    </row>
    <row r="621" spans="1:9" hidden="1" x14ac:dyDescent="0.25">
      <c r="A621">
        <v>0</v>
      </c>
      <c r="B621" t="s">
        <v>4</v>
      </c>
      <c r="C621" t="s">
        <v>139</v>
      </c>
      <c r="D621" t="s">
        <v>139</v>
      </c>
      <c r="E621" t="s">
        <v>139</v>
      </c>
      <c r="F621" t="s">
        <v>139</v>
      </c>
      <c r="G621" t="s">
        <v>139</v>
      </c>
      <c r="H621" t="s">
        <v>139</v>
      </c>
      <c r="I621" t="str">
        <f>_xlfn.XLOOKUP(H621,'SO-DIMM-i5'!A:A,'SO-DIMM-i5'!B:B,_xlfn.XLOOKUP(H621,'SO-DIMM-i5'!H:H,'SO-DIMM-i5'!G:G,""))</f>
        <v/>
      </c>
    </row>
    <row r="622" spans="1:9" hidden="1" x14ac:dyDescent="0.25">
      <c r="A622">
        <v>0</v>
      </c>
      <c r="B622" t="s">
        <v>4</v>
      </c>
      <c r="C622" t="s">
        <v>139</v>
      </c>
      <c r="D622" t="s">
        <v>139</v>
      </c>
      <c r="E622" t="s">
        <v>139</v>
      </c>
      <c r="F622" t="s">
        <v>139</v>
      </c>
      <c r="G622" t="s">
        <v>139</v>
      </c>
      <c r="H622" t="s">
        <v>883</v>
      </c>
      <c r="I622" t="str">
        <f>_xlfn.XLOOKUP(H622,'SO-DIMM-i5'!A:A,'SO-DIMM-i5'!B:B,_xlfn.XLOOKUP(H622,'SO-DIMM-i5'!H:H,'SO-DIMM-i5'!G:G,""))</f>
        <v/>
      </c>
    </row>
    <row r="623" spans="1:9" hidden="1" x14ac:dyDescent="0.25">
      <c r="A623">
        <v>0</v>
      </c>
      <c r="B623" t="s">
        <v>4</v>
      </c>
      <c r="C623" t="s">
        <v>139</v>
      </c>
      <c r="D623" t="s">
        <v>139</v>
      </c>
      <c r="E623" t="s">
        <v>139</v>
      </c>
      <c r="F623" t="s">
        <v>139</v>
      </c>
      <c r="G623" t="s">
        <v>139</v>
      </c>
      <c r="H623" t="s">
        <v>884</v>
      </c>
      <c r="I623" t="str">
        <f>_xlfn.XLOOKUP(H623,'SO-DIMM-i5'!A:A,'SO-DIMM-i5'!B:B,_xlfn.XLOOKUP(H623,'SO-DIMM-i5'!H:H,'SO-DIMM-i5'!G:G,""))</f>
        <v/>
      </c>
    </row>
    <row r="624" spans="1:9" hidden="1" x14ac:dyDescent="0.25">
      <c r="A624">
        <v>0</v>
      </c>
      <c r="B624" t="s">
        <v>4</v>
      </c>
      <c r="C624" t="s">
        <v>139</v>
      </c>
      <c r="D624" t="s">
        <v>139</v>
      </c>
      <c r="E624" t="s">
        <v>139</v>
      </c>
      <c r="F624" t="s">
        <v>139</v>
      </c>
      <c r="G624" t="s">
        <v>139</v>
      </c>
      <c r="H624" t="s">
        <v>139</v>
      </c>
      <c r="I624" t="str">
        <f>_xlfn.XLOOKUP(H624,'SO-DIMM-i5'!A:A,'SO-DIMM-i5'!B:B,_xlfn.XLOOKUP(H624,'SO-DIMM-i5'!H:H,'SO-DIMM-i5'!G:G,""))</f>
        <v/>
      </c>
    </row>
    <row r="625" spans="1:9" hidden="1" x14ac:dyDescent="0.25">
      <c r="A625">
        <v>0</v>
      </c>
      <c r="B625" t="s">
        <v>4</v>
      </c>
      <c r="C625" t="s">
        <v>139</v>
      </c>
      <c r="D625" t="s">
        <v>139</v>
      </c>
      <c r="E625" t="s">
        <v>139</v>
      </c>
      <c r="F625" t="s">
        <v>139</v>
      </c>
      <c r="G625" t="s">
        <v>139</v>
      </c>
      <c r="H625" t="s">
        <v>139</v>
      </c>
      <c r="I625" t="str">
        <f>_xlfn.XLOOKUP(H625,'SO-DIMM-i5'!A:A,'SO-DIMM-i5'!B:B,_xlfn.XLOOKUP(H625,'SO-DIMM-i5'!H:H,'SO-DIMM-i5'!G:G,""))</f>
        <v/>
      </c>
    </row>
    <row r="626" spans="1:9" hidden="1" x14ac:dyDescent="0.25">
      <c r="A626">
        <v>0</v>
      </c>
      <c r="B626" t="s">
        <v>4</v>
      </c>
      <c r="C626" t="s">
        <v>139</v>
      </c>
      <c r="D626" t="s">
        <v>139</v>
      </c>
      <c r="E626" t="s">
        <v>139</v>
      </c>
      <c r="F626" t="s">
        <v>139</v>
      </c>
      <c r="G626" t="s">
        <v>139</v>
      </c>
      <c r="H626" t="s">
        <v>139</v>
      </c>
      <c r="I626" t="str">
        <f>_xlfn.XLOOKUP(H626,'SO-DIMM-i5'!A:A,'SO-DIMM-i5'!B:B,_xlfn.XLOOKUP(H626,'SO-DIMM-i5'!H:H,'SO-DIMM-i5'!G:G,""))</f>
        <v/>
      </c>
    </row>
    <row r="627" spans="1:9" hidden="1" x14ac:dyDescent="0.25">
      <c r="A627">
        <v>0</v>
      </c>
      <c r="B627" t="s">
        <v>4</v>
      </c>
      <c r="C627" t="s">
        <v>139</v>
      </c>
      <c r="D627" t="s">
        <v>139</v>
      </c>
      <c r="E627" t="s">
        <v>139</v>
      </c>
      <c r="F627" t="s">
        <v>139</v>
      </c>
      <c r="G627" t="s">
        <v>139</v>
      </c>
      <c r="H627" t="s">
        <v>139</v>
      </c>
      <c r="I627" t="str">
        <f>_xlfn.XLOOKUP(H627,'SO-DIMM-i5'!A:A,'SO-DIMM-i5'!B:B,_xlfn.XLOOKUP(H627,'SO-DIMM-i5'!H:H,'SO-DIMM-i5'!G:G,""))</f>
        <v/>
      </c>
    </row>
    <row r="628" spans="1:9" hidden="1" x14ac:dyDescent="0.25">
      <c r="A628">
        <v>0</v>
      </c>
      <c r="B628" t="s">
        <v>352</v>
      </c>
      <c r="C628">
        <v>8</v>
      </c>
      <c r="D628" t="s">
        <v>139</v>
      </c>
      <c r="E628" t="s">
        <v>139</v>
      </c>
      <c r="F628" t="s">
        <v>139</v>
      </c>
      <c r="G628" t="s">
        <v>139</v>
      </c>
      <c r="H628" t="s">
        <v>885</v>
      </c>
      <c r="I628" t="str">
        <f>_xlfn.XLOOKUP(H628,'SO-DIMM-i5'!A:A,'SO-DIMM-i5'!B:B,_xlfn.XLOOKUP(H628,'SO-DIMM-i5'!H:H,'SO-DIMM-i5'!G:G,""))</f>
        <v/>
      </c>
    </row>
    <row r="629" spans="1:9" hidden="1" x14ac:dyDescent="0.25">
      <c r="A629">
        <v>0</v>
      </c>
      <c r="B629" t="s">
        <v>352</v>
      </c>
      <c r="C629">
        <v>8</v>
      </c>
      <c r="D629" t="s">
        <v>139</v>
      </c>
      <c r="E629" t="s">
        <v>139</v>
      </c>
      <c r="F629" t="s">
        <v>139</v>
      </c>
      <c r="G629" t="s">
        <v>139</v>
      </c>
      <c r="H629" t="s">
        <v>886</v>
      </c>
      <c r="I629" t="str">
        <f>_xlfn.XLOOKUP(H629,'SO-DIMM-i5'!A:A,'SO-DIMM-i5'!B:B,_xlfn.XLOOKUP(H629,'SO-DIMM-i5'!H:H,'SO-DIMM-i5'!G:G,""))</f>
        <v/>
      </c>
    </row>
    <row r="630" spans="1:9" hidden="1" x14ac:dyDescent="0.25">
      <c r="A630">
        <v>0</v>
      </c>
      <c r="B630" t="s">
        <v>352</v>
      </c>
      <c r="C630">
        <v>8</v>
      </c>
      <c r="D630" t="s">
        <v>139</v>
      </c>
      <c r="E630" t="s">
        <v>139</v>
      </c>
      <c r="F630" t="s">
        <v>139</v>
      </c>
      <c r="G630" t="s">
        <v>139</v>
      </c>
      <c r="H630" t="s">
        <v>139</v>
      </c>
      <c r="I630" t="str">
        <f>_xlfn.XLOOKUP(H630,'SO-DIMM-i5'!A:A,'SO-DIMM-i5'!B:B,_xlfn.XLOOKUP(H630,'SO-DIMM-i5'!H:H,'SO-DIMM-i5'!G:G,""))</f>
        <v/>
      </c>
    </row>
    <row r="631" spans="1:9" hidden="1" x14ac:dyDescent="0.25">
      <c r="A631">
        <v>0</v>
      </c>
      <c r="B631" t="s">
        <v>352</v>
      </c>
      <c r="C631">
        <v>8</v>
      </c>
      <c r="D631" t="s">
        <v>139</v>
      </c>
      <c r="E631" t="s">
        <v>139</v>
      </c>
      <c r="F631" t="s">
        <v>139</v>
      </c>
      <c r="G631" t="s">
        <v>139</v>
      </c>
      <c r="H631" t="s">
        <v>139</v>
      </c>
      <c r="I631" t="str">
        <f>_xlfn.XLOOKUP(H631,'SO-DIMM-i5'!A:A,'SO-DIMM-i5'!B:B,_xlfn.XLOOKUP(H631,'SO-DIMM-i5'!H:H,'SO-DIMM-i5'!G:G,""))</f>
        <v/>
      </c>
    </row>
    <row r="632" spans="1:9" hidden="1" x14ac:dyDescent="0.25">
      <c r="A632">
        <v>0</v>
      </c>
      <c r="B632" t="s">
        <v>239</v>
      </c>
      <c r="C632">
        <v>6</v>
      </c>
      <c r="D632" t="s">
        <v>139</v>
      </c>
      <c r="E632" t="s">
        <v>139</v>
      </c>
      <c r="F632" t="s">
        <v>139</v>
      </c>
      <c r="G632" t="s">
        <v>139</v>
      </c>
      <c r="H632" t="s">
        <v>887</v>
      </c>
      <c r="I632" t="str">
        <f>_xlfn.XLOOKUP(H632,'SO-DIMM-i5'!A:A,'SO-DIMM-i5'!B:B,_xlfn.XLOOKUP(H632,'SO-DIMM-i5'!H:H,'SO-DIMM-i5'!G:G,""))</f>
        <v/>
      </c>
    </row>
    <row r="633" spans="1:9" hidden="1" x14ac:dyDescent="0.25">
      <c r="A633">
        <v>0</v>
      </c>
      <c r="B633" t="s">
        <v>239</v>
      </c>
      <c r="C633">
        <v>6</v>
      </c>
      <c r="D633" t="s">
        <v>139</v>
      </c>
      <c r="E633" t="s">
        <v>139</v>
      </c>
      <c r="F633" t="s">
        <v>139</v>
      </c>
      <c r="G633" t="s">
        <v>139</v>
      </c>
      <c r="H633" t="s">
        <v>888</v>
      </c>
      <c r="I633" t="str">
        <f>_xlfn.XLOOKUP(H633,'SO-DIMM-i5'!A:A,'SO-DIMM-i5'!B:B,_xlfn.XLOOKUP(H633,'SO-DIMM-i5'!H:H,'SO-DIMM-i5'!G:G,""))</f>
        <v/>
      </c>
    </row>
    <row r="634" spans="1:9" hidden="1" x14ac:dyDescent="0.25">
      <c r="A634">
        <v>0</v>
      </c>
      <c r="B634" t="s">
        <v>239</v>
      </c>
      <c r="C634">
        <v>6</v>
      </c>
      <c r="D634" t="s">
        <v>139</v>
      </c>
      <c r="E634" t="s">
        <v>139</v>
      </c>
      <c r="F634" t="s">
        <v>139</v>
      </c>
      <c r="G634" t="s">
        <v>139</v>
      </c>
      <c r="H634" t="s">
        <v>889</v>
      </c>
      <c r="I634" t="str">
        <f>_xlfn.XLOOKUP(H634,'SO-DIMM-i5'!A:A,'SO-DIMM-i5'!B:B,_xlfn.XLOOKUP(H634,'SO-DIMM-i5'!H:H,'SO-DIMM-i5'!G:G,""))</f>
        <v/>
      </c>
    </row>
    <row r="635" spans="1:9" hidden="1" x14ac:dyDescent="0.25">
      <c r="A635">
        <v>0</v>
      </c>
      <c r="B635" t="s">
        <v>239</v>
      </c>
      <c r="C635">
        <v>6</v>
      </c>
      <c r="D635" t="s">
        <v>139</v>
      </c>
      <c r="E635" t="s">
        <v>139</v>
      </c>
      <c r="F635" t="s">
        <v>139</v>
      </c>
      <c r="G635" t="s">
        <v>139</v>
      </c>
      <c r="H635" t="s">
        <v>139</v>
      </c>
      <c r="I635" t="str">
        <f>_xlfn.XLOOKUP(H635,'SO-DIMM-i5'!A:A,'SO-DIMM-i5'!B:B,_xlfn.XLOOKUP(H635,'SO-DIMM-i5'!H:H,'SO-DIMM-i5'!G:G,""))</f>
        <v/>
      </c>
    </row>
    <row r="636" spans="1:9" hidden="1" x14ac:dyDescent="0.25">
      <c r="A636">
        <v>0</v>
      </c>
      <c r="B636" t="s">
        <v>239</v>
      </c>
      <c r="C636">
        <v>6</v>
      </c>
      <c r="D636" t="s">
        <v>139</v>
      </c>
      <c r="E636" t="s">
        <v>139</v>
      </c>
      <c r="F636" t="s">
        <v>139</v>
      </c>
      <c r="G636" t="s">
        <v>139</v>
      </c>
      <c r="H636" t="s">
        <v>139</v>
      </c>
      <c r="I636" t="str">
        <f>_xlfn.XLOOKUP(H636,'SO-DIMM-i5'!A:A,'SO-DIMM-i5'!B:B,_xlfn.XLOOKUP(H636,'SO-DIMM-i5'!H:H,'SO-DIMM-i5'!G:G,""))</f>
        <v/>
      </c>
    </row>
    <row r="637" spans="1:9" hidden="1" x14ac:dyDescent="0.25">
      <c r="A637">
        <v>0</v>
      </c>
      <c r="B637" t="s">
        <v>150</v>
      </c>
      <c r="C637">
        <v>7</v>
      </c>
      <c r="D637" t="s">
        <v>139</v>
      </c>
      <c r="E637" t="s">
        <v>139</v>
      </c>
      <c r="F637" t="s">
        <v>139</v>
      </c>
      <c r="G637" t="s">
        <v>139</v>
      </c>
      <c r="H637" t="s">
        <v>890</v>
      </c>
      <c r="I637" t="str">
        <f>_xlfn.XLOOKUP(H637,'SO-DIMM-i5'!A:A,'SO-DIMM-i5'!B:B,_xlfn.XLOOKUP(H637,'SO-DIMM-i5'!H:H,'SO-DIMM-i5'!G:G,""))</f>
        <v/>
      </c>
    </row>
    <row r="638" spans="1:9" hidden="1" x14ac:dyDescent="0.25">
      <c r="A638">
        <v>0</v>
      </c>
      <c r="B638" t="s">
        <v>150</v>
      </c>
      <c r="C638">
        <v>7</v>
      </c>
      <c r="D638" t="s">
        <v>139</v>
      </c>
      <c r="E638" t="s">
        <v>139</v>
      </c>
      <c r="F638" t="s">
        <v>139</v>
      </c>
      <c r="G638" t="s">
        <v>139</v>
      </c>
      <c r="H638" t="s">
        <v>891</v>
      </c>
      <c r="I638" t="str">
        <f>_xlfn.XLOOKUP(H638,'SO-DIMM-i5'!A:A,'SO-DIMM-i5'!B:B,_xlfn.XLOOKUP(H638,'SO-DIMM-i5'!H:H,'SO-DIMM-i5'!G:G,""))</f>
        <v/>
      </c>
    </row>
    <row r="639" spans="1:9" hidden="1" x14ac:dyDescent="0.25">
      <c r="A639">
        <v>0</v>
      </c>
      <c r="B639" t="s">
        <v>150</v>
      </c>
      <c r="C639">
        <v>7</v>
      </c>
      <c r="D639" t="s">
        <v>139</v>
      </c>
      <c r="E639" t="s">
        <v>139</v>
      </c>
      <c r="F639" t="s">
        <v>139</v>
      </c>
      <c r="G639" t="s">
        <v>139</v>
      </c>
      <c r="H639" t="s">
        <v>892</v>
      </c>
      <c r="I639" t="str">
        <f>_xlfn.XLOOKUP(H639,'SO-DIMM-i5'!A:A,'SO-DIMM-i5'!B:B,_xlfn.XLOOKUP(H639,'SO-DIMM-i5'!H:H,'SO-DIMM-i5'!G:G,""))</f>
        <v/>
      </c>
    </row>
    <row r="640" spans="1:9" hidden="1" x14ac:dyDescent="0.25">
      <c r="A640">
        <v>0</v>
      </c>
      <c r="B640" t="s">
        <v>150</v>
      </c>
      <c r="C640">
        <v>7</v>
      </c>
      <c r="D640" t="s">
        <v>139</v>
      </c>
      <c r="E640" t="s">
        <v>139</v>
      </c>
      <c r="F640" t="s">
        <v>139</v>
      </c>
      <c r="G640" t="s">
        <v>139</v>
      </c>
      <c r="H640" t="s">
        <v>139</v>
      </c>
      <c r="I640" t="str">
        <f>_xlfn.XLOOKUP(H640,'SO-DIMM-i5'!A:A,'SO-DIMM-i5'!B:B,_xlfn.XLOOKUP(H640,'SO-DIMM-i5'!H:H,'SO-DIMM-i5'!G:G,""))</f>
        <v/>
      </c>
    </row>
    <row r="641" spans="1:9" hidden="1" x14ac:dyDescent="0.25">
      <c r="A641">
        <v>0</v>
      </c>
      <c r="B641" t="s">
        <v>150</v>
      </c>
      <c r="C641">
        <v>7</v>
      </c>
      <c r="D641" t="s">
        <v>139</v>
      </c>
      <c r="E641" t="s">
        <v>139</v>
      </c>
      <c r="F641" t="s">
        <v>139</v>
      </c>
      <c r="G641" t="s">
        <v>139</v>
      </c>
      <c r="H641" t="s">
        <v>139</v>
      </c>
      <c r="I641" t="str">
        <f>_xlfn.XLOOKUP(H641,'SO-DIMM-i5'!A:A,'SO-DIMM-i5'!B:B,_xlfn.XLOOKUP(H641,'SO-DIMM-i5'!H:H,'SO-DIMM-i5'!G:G,""))</f>
        <v/>
      </c>
    </row>
    <row r="642" spans="1:9" hidden="1" x14ac:dyDescent="0.25">
      <c r="A642">
        <v>0</v>
      </c>
      <c r="B642" t="s">
        <v>150</v>
      </c>
      <c r="C642">
        <v>7</v>
      </c>
      <c r="D642" t="s">
        <v>139</v>
      </c>
      <c r="E642" t="s">
        <v>139</v>
      </c>
      <c r="F642" t="s">
        <v>139</v>
      </c>
      <c r="G642" t="s">
        <v>139</v>
      </c>
      <c r="H642" t="s">
        <v>139</v>
      </c>
      <c r="I642" t="str">
        <f>_xlfn.XLOOKUP(H642,'SO-DIMM-i5'!A:A,'SO-DIMM-i5'!B:B,_xlfn.XLOOKUP(H642,'SO-DIMM-i5'!H:H,'SO-DIMM-i5'!G:G,""))</f>
        <v/>
      </c>
    </row>
    <row r="643" spans="1:9" hidden="1" x14ac:dyDescent="0.25">
      <c r="A643">
        <v>0</v>
      </c>
      <c r="B643" t="s">
        <v>4</v>
      </c>
      <c r="C643" t="s">
        <v>139</v>
      </c>
      <c r="D643" t="s">
        <v>139</v>
      </c>
      <c r="E643" t="s">
        <v>139</v>
      </c>
      <c r="F643" t="s">
        <v>139</v>
      </c>
      <c r="G643" t="s">
        <v>139</v>
      </c>
      <c r="H643" t="s">
        <v>139</v>
      </c>
      <c r="I643" t="str">
        <f>_xlfn.XLOOKUP(H643,'SO-DIMM-i5'!A:A,'SO-DIMM-i5'!B:B,_xlfn.XLOOKUP(H643,'SO-DIMM-i5'!H:H,'SO-DIMM-i5'!G:G,""))</f>
        <v/>
      </c>
    </row>
    <row r="644" spans="1:9" hidden="1" x14ac:dyDescent="0.25">
      <c r="A644">
        <v>0</v>
      </c>
      <c r="B644" t="s">
        <v>4</v>
      </c>
      <c r="C644" t="s">
        <v>139</v>
      </c>
      <c r="D644" t="s">
        <v>139</v>
      </c>
      <c r="E644" t="s">
        <v>139</v>
      </c>
      <c r="F644" t="s">
        <v>139</v>
      </c>
      <c r="G644" t="s">
        <v>139</v>
      </c>
      <c r="H644" t="s">
        <v>139</v>
      </c>
      <c r="I644" t="str">
        <f>_xlfn.XLOOKUP(H644,'SO-DIMM-i5'!A:A,'SO-DIMM-i5'!B:B,_xlfn.XLOOKUP(H644,'SO-DIMM-i5'!H:H,'SO-DIMM-i5'!G:G,""))</f>
        <v/>
      </c>
    </row>
    <row r="645" spans="1:9" hidden="1" x14ac:dyDescent="0.25">
      <c r="A645">
        <v>0</v>
      </c>
      <c r="B645" t="s">
        <v>4</v>
      </c>
      <c r="C645" t="s">
        <v>139</v>
      </c>
      <c r="D645" t="s">
        <v>139</v>
      </c>
      <c r="E645" t="s">
        <v>139</v>
      </c>
      <c r="F645" t="s">
        <v>139</v>
      </c>
      <c r="G645" t="s">
        <v>139</v>
      </c>
      <c r="H645" t="s">
        <v>139</v>
      </c>
      <c r="I645" t="str">
        <f>_xlfn.XLOOKUP(H645,'SO-DIMM-i5'!A:A,'SO-DIMM-i5'!B:B,_xlfn.XLOOKUP(H645,'SO-DIMM-i5'!H:H,'SO-DIMM-i5'!G:G,""))</f>
        <v/>
      </c>
    </row>
    <row r="646" spans="1:9" hidden="1" x14ac:dyDescent="0.25">
      <c r="A646">
        <v>0</v>
      </c>
      <c r="B646" t="s">
        <v>4</v>
      </c>
      <c r="C646" t="s">
        <v>139</v>
      </c>
      <c r="D646" t="s">
        <v>139</v>
      </c>
      <c r="E646" t="s">
        <v>139</v>
      </c>
      <c r="F646" t="s">
        <v>139</v>
      </c>
      <c r="G646" t="s">
        <v>139</v>
      </c>
      <c r="H646" t="s">
        <v>139</v>
      </c>
      <c r="I646" t="str">
        <f>_xlfn.XLOOKUP(H646,'SO-DIMM-i5'!A:A,'SO-DIMM-i5'!B:B,_xlfn.XLOOKUP(H646,'SO-DIMM-i5'!H:H,'SO-DIMM-i5'!G:G,""))</f>
        <v/>
      </c>
    </row>
    <row r="647" spans="1:9" hidden="1" x14ac:dyDescent="0.25">
      <c r="A647">
        <v>0</v>
      </c>
      <c r="B647" t="s">
        <v>4</v>
      </c>
      <c r="C647" t="s">
        <v>139</v>
      </c>
      <c r="D647" t="s">
        <v>139</v>
      </c>
      <c r="E647" t="s">
        <v>139</v>
      </c>
      <c r="F647" t="s">
        <v>139</v>
      </c>
      <c r="G647" t="s">
        <v>139</v>
      </c>
      <c r="H647" t="s">
        <v>139</v>
      </c>
      <c r="I647" t="str">
        <f>_xlfn.XLOOKUP(H647,'SO-DIMM-i5'!A:A,'SO-DIMM-i5'!B:B,_xlfn.XLOOKUP(H647,'SO-DIMM-i5'!H:H,'SO-DIMM-i5'!G:G,""))</f>
        <v/>
      </c>
    </row>
    <row r="648" spans="1:9" hidden="1" x14ac:dyDescent="0.25">
      <c r="A648">
        <v>0</v>
      </c>
      <c r="B648" t="s">
        <v>4</v>
      </c>
      <c r="C648" t="s">
        <v>139</v>
      </c>
      <c r="D648" t="s">
        <v>139</v>
      </c>
      <c r="E648" t="s">
        <v>139</v>
      </c>
      <c r="F648" t="s">
        <v>139</v>
      </c>
      <c r="G648" t="s">
        <v>139</v>
      </c>
      <c r="H648" t="s">
        <v>139</v>
      </c>
      <c r="I648" t="str">
        <f>_xlfn.XLOOKUP(H648,'SO-DIMM-i5'!A:A,'SO-DIMM-i5'!B:B,_xlfn.XLOOKUP(H648,'SO-DIMM-i5'!H:H,'SO-DIMM-i5'!G:G,""))</f>
        <v/>
      </c>
    </row>
    <row r="649" spans="1:9" hidden="1" x14ac:dyDescent="0.25">
      <c r="A649">
        <v>0</v>
      </c>
      <c r="B649" t="s">
        <v>4</v>
      </c>
      <c r="C649" t="s">
        <v>139</v>
      </c>
      <c r="D649" t="s">
        <v>139</v>
      </c>
      <c r="E649" t="s">
        <v>139</v>
      </c>
      <c r="F649" t="s">
        <v>139</v>
      </c>
      <c r="G649" t="s">
        <v>139</v>
      </c>
      <c r="H649" t="s">
        <v>139</v>
      </c>
      <c r="I649" t="str">
        <f>_xlfn.XLOOKUP(H649,'SO-DIMM-i5'!A:A,'SO-DIMM-i5'!B:B,_xlfn.XLOOKUP(H649,'SO-DIMM-i5'!H:H,'SO-DIMM-i5'!G:G,""))</f>
        <v/>
      </c>
    </row>
    <row r="650" spans="1:9" hidden="1" x14ac:dyDescent="0.25">
      <c r="A650">
        <v>0</v>
      </c>
      <c r="B650" t="s">
        <v>4</v>
      </c>
      <c r="C650" t="s">
        <v>139</v>
      </c>
      <c r="D650" t="s">
        <v>139</v>
      </c>
      <c r="E650" t="s">
        <v>139</v>
      </c>
      <c r="F650" t="s">
        <v>139</v>
      </c>
      <c r="G650" t="s">
        <v>139</v>
      </c>
      <c r="H650" t="s">
        <v>139</v>
      </c>
      <c r="I650" t="str">
        <f>_xlfn.XLOOKUP(H650,'SO-DIMM-i5'!A:A,'SO-DIMM-i5'!B:B,_xlfn.XLOOKUP(H650,'SO-DIMM-i5'!H:H,'SO-DIMM-i5'!G:G,""))</f>
        <v/>
      </c>
    </row>
    <row r="651" spans="1:9" hidden="1" x14ac:dyDescent="0.25">
      <c r="A651">
        <v>0</v>
      </c>
      <c r="B651" t="s">
        <v>4</v>
      </c>
      <c r="C651" t="s">
        <v>139</v>
      </c>
      <c r="D651" t="s">
        <v>139</v>
      </c>
      <c r="E651" t="s">
        <v>139</v>
      </c>
      <c r="F651" t="s">
        <v>139</v>
      </c>
      <c r="G651" t="s">
        <v>139</v>
      </c>
      <c r="H651" t="s">
        <v>139</v>
      </c>
      <c r="I651" t="str">
        <f>_xlfn.XLOOKUP(H651,'SO-DIMM-i5'!A:A,'SO-DIMM-i5'!B:B,_xlfn.XLOOKUP(H651,'SO-DIMM-i5'!H:H,'SO-DIMM-i5'!G:G,""))</f>
        <v/>
      </c>
    </row>
    <row r="652" spans="1:9" hidden="1" x14ac:dyDescent="0.25">
      <c r="A652">
        <v>0</v>
      </c>
      <c r="B652" t="s">
        <v>4</v>
      </c>
      <c r="C652" t="s">
        <v>139</v>
      </c>
      <c r="D652" t="s">
        <v>139</v>
      </c>
      <c r="E652" t="s">
        <v>139</v>
      </c>
      <c r="F652" t="s">
        <v>139</v>
      </c>
      <c r="G652" t="s">
        <v>139</v>
      </c>
      <c r="H652" t="s">
        <v>139</v>
      </c>
      <c r="I652" t="str">
        <f>_xlfn.XLOOKUP(H652,'SO-DIMM-i5'!A:A,'SO-DIMM-i5'!B:B,_xlfn.XLOOKUP(H652,'SO-DIMM-i5'!H:H,'SO-DIMM-i5'!G:G,""))</f>
        <v/>
      </c>
    </row>
    <row r="653" spans="1:9" hidden="1" x14ac:dyDescent="0.25">
      <c r="A653">
        <v>0</v>
      </c>
      <c r="B653" t="s">
        <v>4</v>
      </c>
      <c r="C653" t="s">
        <v>139</v>
      </c>
      <c r="D653" t="s">
        <v>139</v>
      </c>
      <c r="E653" t="s">
        <v>139</v>
      </c>
      <c r="F653" t="s">
        <v>139</v>
      </c>
      <c r="G653" t="s">
        <v>139</v>
      </c>
      <c r="H653" t="s">
        <v>139</v>
      </c>
      <c r="I653" t="str">
        <f>_xlfn.XLOOKUP(H653,'SO-DIMM-i5'!A:A,'SO-DIMM-i5'!B:B,_xlfn.XLOOKUP(H653,'SO-DIMM-i5'!H:H,'SO-DIMM-i5'!G:G,""))</f>
        <v/>
      </c>
    </row>
    <row r="654" spans="1:9" hidden="1" x14ac:dyDescent="0.25">
      <c r="A654">
        <v>0</v>
      </c>
      <c r="B654" t="s">
        <v>4</v>
      </c>
      <c r="C654" t="s">
        <v>139</v>
      </c>
      <c r="D654" t="s">
        <v>139</v>
      </c>
      <c r="E654" t="s">
        <v>139</v>
      </c>
      <c r="F654" t="s">
        <v>139</v>
      </c>
      <c r="G654" t="s">
        <v>139</v>
      </c>
      <c r="H654" t="s">
        <v>139</v>
      </c>
      <c r="I654" t="str">
        <f>_xlfn.XLOOKUP(H654,'SO-DIMM-i5'!A:A,'SO-DIMM-i5'!B:B,_xlfn.XLOOKUP(H654,'SO-DIMM-i5'!H:H,'SO-DIMM-i5'!G:G,""))</f>
        <v/>
      </c>
    </row>
    <row r="655" spans="1:9" hidden="1" x14ac:dyDescent="0.25">
      <c r="A655">
        <v>0</v>
      </c>
      <c r="B655" t="s">
        <v>4</v>
      </c>
      <c r="C655" t="s">
        <v>139</v>
      </c>
      <c r="D655" t="s">
        <v>139</v>
      </c>
      <c r="E655" t="s">
        <v>139</v>
      </c>
      <c r="F655" t="s">
        <v>139</v>
      </c>
      <c r="G655" t="s">
        <v>139</v>
      </c>
      <c r="H655" t="s">
        <v>139</v>
      </c>
      <c r="I655" t="str">
        <f>_xlfn.XLOOKUP(H655,'SO-DIMM-i5'!A:A,'SO-DIMM-i5'!B:B,_xlfn.XLOOKUP(H655,'SO-DIMM-i5'!H:H,'SO-DIMM-i5'!G:G,""))</f>
        <v/>
      </c>
    </row>
    <row r="656" spans="1:9" hidden="1" x14ac:dyDescent="0.25">
      <c r="A656">
        <v>0</v>
      </c>
      <c r="B656" t="s">
        <v>12</v>
      </c>
      <c r="C656" t="s">
        <v>139</v>
      </c>
      <c r="D656" t="s">
        <v>139</v>
      </c>
      <c r="E656" t="s">
        <v>139</v>
      </c>
      <c r="F656" t="s">
        <v>139</v>
      </c>
      <c r="G656" t="s">
        <v>139</v>
      </c>
      <c r="H656" t="s">
        <v>893</v>
      </c>
      <c r="I656" t="str">
        <f>_xlfn.XLOOKUP(H656,'SO-DIMM-i5'!A:A,'SO-DIMM-i5'!B:B,_xlfn.XLOOKUP(H656,'SO-DIMM-i5'!H:H,'SO-DIMM-i5'!G:G,""))</f>
        <v/>
      </c>
    </row>
    <row r="657" spans="1:9" hidden="1" x14ac:dyDescent="0.25">
      <c r="A657">
        <v>0</v>
      </c>
      <c r="B657" t="s">
        <v>12</v>
      </c>
      <c r="C657" t="s">
        <v>139</v>
      </c>
      <c r="D657" t="s">
        <v>139</v>
      </c>
      <c r="E657" t="s">
        <v>139</v>
      </c>
      <c r="F657" t="s">
        <v>139</v>
      </c>
      <c r="G657" t="s">
        <v>139</v>
      </c>
      <c r="H657" t="s">
        <v>894</v>
      </c>
      <c r="I657" t="str">
        <f>_xlfn.XLOOKUP(H657,'SO-DIMM-i5'!A:A,'SO-DIMM-i5'!B:B,_xlfn.XLOOKUP(H657,'SO-DIMM-i5'!H:H,'SO-DIMM-i5'!G:G,""))</f>
        <v/>
      </c>
    </row>
    <row r="658" spans="1:9" hidden="1" x14ac:dyDescent="0.25">
      <c r="A658">
        <v>0</v>
      </c>
      <c r="B658" t="s">
        <v>12</v>
      </c>
      <c r="C658" t="s">
        <v>139</v>
      </c>
      <c r="D658" t="s">
        <v>139</v>
      </c>
      <c r="E658" t="s">
        <v>139</v>
      </c>
      <c r="F658" t="s">
        <v>139</v>
      </c>
      <c r="G658" t="s">
        <v>139</v>
      </c>
      <c r="H658" t="s">
        <v>895</v>
      </c>
      <c r="I658" t="str">
        <f>_xlfn.XLOOKUP(H658,'SO-DIMM-i5'!A:A,'SO-DIMM-i5'!B:B,_xlfn.XLOOKUP(H658,'SO-DIMM-i5'!H:H,'SO-DIMM-i5'!G:G,""))</f>
        <v/>
      </c>
    </row>
    <row r="659" spans="1:9" hidden="1" x14ac:dyDescent="0.25">
      <c r="A659">
        <v>0</v>
      </c>
      <c r="B659" t="s">
        <v>12</v>
      </c>
      <c r="C659" t="s">
        <v>139</v>
      </c>
      <c r="D659" t="s">
        <v>139</v>
      </c>
      <c r="E659" t="s">
        <v>139</v>
      </c>
      <c r="F659" t="s">
        <v>139</v>
      </c>
      <c r="G659" t="s">
        <v>139</v>
      </c>
      <c r="H659" t="s">
        <v>896</v>
      </c>
      <c r="I659" t="str">
        <f>_xlfn.XLOOKUP(H659,'SO-DIMM-i5'!A:A,'SO-DIMM-i5'!B:B,_xlfn.XLOOKUP(H659,'SO-DIMM-i5'!H:H,'SO-DIMM-i5'!G:G,""))</f>
        <v/>
      </c>
    </row>
    <row r="660" spans="1:9" hidden="1" x14ac:dyDescent="0.25">
      <c r="A660">
        <v>0</v>
      </c>
      <c r="B660" t="s">
        <v>12</v>
      </c>
      <c r="C660" t="s">
        <v>139</v>
      </c>
      <c r="D660" t="s">
        <v>139</v>
      </c>
      <c r="E660" t="s">
        <v>139</v>
      </c>
      <c r="F660" t="s">
        <v>139</v>
      </c>
      <c r="G660" t="s">
        <v>139</v>
      </c>
      <c r="H660" t="s">
        <v>897</v>
      </c>
      <c r="I660" t="str">
        <f>_xlfn.XLOOKUP(H660,'SO-DIMM-i5'!A:A,'SO-DIMM-i5'!B:B,_xlfn.XLOOKUP(H660,'SO-DIMM-i5'!H:H,'SO-DIMM-i5'!G:G,""))</f>
        <v/>
      </c>
    </row>
    <row r="661" spans="1:9" hidden="1" x14ac:dyDescent="0.25">
      <c r="A661">
        <v>0</v>
      </c>
      <c r="B661" t="s">
        <v>12</v>
      </c>
      <c r="C661" t="s">
        <v>139</v>
      </c>
      <c r="D661" t="s">
        <v>139</v>
      </c>
      <c r="E661" t="s">
        <v>139</v>
      </c>
      <c r="F661" t="s">
        <v>139</v>
      </c>
      <c r="G661" t="s">
        <v>139</v>
      </c>
      <c r="H661" t="s">
        <v>898</v>
      </c>
      <c r="I661" t="str">
        <f>_xlfn.XLOOKUP(H661,'SO-DIMM-i5'!A:A,'SO-DIMM-i5'!B:B,_xlfn.XLOOKUP(H661,'SO-DIMM-i5'!H:H,'SO-DIMM-i5'!G:G,""))</f>
        <v/>
      </c>
    </row>
    <row r="662" spans="1:9" hidden="1" x14ac:dyDescent="0.25">
      <c r="A662">
        <v>0</v>
      </c>
      <c r="B662" t="s">
        <v>12</v>
      </c>
      <c r="C662" t="s">
        <v>139</v>
      </c>
      <c r="D662" t="s">
        <v>139</v>
      </c>
      <c r="E662" t="s">
        <v>139</v>
      </c>
      <c r="F662" t="s">
        <v>139</v>
      </c>
      <c r="G662" t="s">
        <v>139</v>
      </c>
      <c r="H662" t="s">
        <v>899</v>
      </c>
      <c r="I662" t="str">
        <f>_xlfn.XLOOKUP(H662,'SO-DIMM-i5'!A:A,'SO-DIMM-i5'!B:B,_xlfn.XLOOKUP(H662,'SO-DIMM-i5'!H:H,'SO-DIMM-i5'!G:G,""))</f>
        <v/>
      </c>
    </row>
    <row r="663" spans="1:9" hidden="1" x14ac:dyDescent="0.25">
      <c r="A663">
        <v>0</v>
      </c>
      <c r="B663" t="s">
        <v>12</v>
      </c>
      <c r="C663" t="s">
        <v>139</v>
      </c>
      <c r="D663" t="s">
        <v>139</v>
      </c>
      <c r="E663" t="s">
        <v>139</v>
      </c>
      <c r="F663" t="s">
        <v>139</v>
      </c>
      <c r="G663" t="s">
        <v>139</v>
      </c>
      <c r="H663" t="s">
        <v>900</v>
      </c>
      <c r="I663" t="str">
        <f>_xlfn.XLOOKUP(H663,'SO-DIMM-i5'!A:A,'SO-DIMM-i5'!B:B,_xlfn.XLOOKUP(H663,'SO-DIMM-i5'!H:H,'SO-DIMM-i5'!G:G,""))</f>
        <v/>
      </c>
    </row>
    <row r="664" spans="1:9" hidden="1" x14ac:dyDescent="0.25">
      <c r="A664">
        <v>0</v>
      </c>
      <c r="B664" t="s">
        <v>12</v>
      </c>
      <c r="C664" t="s">
        <v>139</v>
      </c>
      <c r="D664" t="s">
        <v>139</v>
      </c>
      <c r="E664" t="s">
        <v>139</v>
      </c>
      <c r="F664" t="s">
        <v>139</v>
      </c>
      <c r="G664" t="s">
        <v>139</v>
      </c>
      <c r="H664" t="s">
        <v>901</v>
      </c>
      <c r="I664" t="str">
        <f>_xlfn.XLOOKUP(H664,'SO-DIMM-i5'!A:A,'SO-DIMM-i5'!B:B,_xlfn.XLOOKUP(H664,'SO-DIMM-i5'!H:H,'SO-DIMM-i5'!G:G,""))</f>
        <v/>
      </c>
    </row>
    <row r="665" spans="1:9" hidden="1" x14ac:dyDescent="0.25">
      <c r="A665">
        <v>0</v>
      </c>
      <c r="B665" t="s">
        <v>12</v>
      </c>
      <c r="C665" t="s">
        <v>139</v>
      </c>
      <c r="D665" t="s">
        <v>139</v>
      </c>
      <c r="E665" t="s">
        <v>139</v>
      </c>
      <c r="F665" t="s">
        <v>139</v>
      </c>
      <c r="G665" t="s">
        <v>139</v>
      </c>
      <c r="H665" t="s">
        <v>902</v>
      </c>
      <c r="I665" t="str">
        <f>_xlfn.XLOOKUP(H665,'SO-DIMM-i5'!A:A,'SO-DIMM-i5'!B:B,_xlfn.XLOOKUP(H665,'SO-DIMM-i5'!H:H,'SO-DIMM-i5'!G:G,""))</f>
        <v/>
      </c>
    </row>
    <row r="666" spans="1:9" hidden="1" x14ac:dyDescent="0.25">
      <c r="A666">
        <v>0</v>
      </c>
      <c r="B666" t="s">
        <v>12</v>
      </c>
      <c r="C666" t="s">
        <v>139</v>
      </c>
      <c r="D666" t="s">
        <v>139</v>
      </c>
      <c r="E666" t="s">
        <v>139</v>
      </c>
      <c r="F666" t="s">
        <v>139</v>
      </c>
      <c r="G666" t="s">
        <v>139</v>
      </c>
      <c r="H666" t="s">
        <v>903</v>
      </c>
      <c r="I666" t="str">
        <f>_xlfn.XLOOKUP(H666,'SO-DIMM-i5'!A:A,'SO-DIMM-i5'!B:B,_xlfn.XLOOKUP(H666,'SO-DIMM-i5'!H:H,'SO-DIMM-i5'!G:G,""))</f>
        <v/>
      </c>
    </row>
    <row r="667" spans="1:9" hidden="1" x14ac:dyDescent="0.25">
      <c r="A667">
        <v>0</v>
      </c>
      <c r="B667" t="s">
        <v>12</v>
      </c>
      <c r="C667" t="s">
        <v>139</v>
      </c>
      <c r="D667" t="s">
        <v>139</v>
      </c>
      <c r="E667" t="s">
        <v>139</v>
      </c>
      <c r="F667" t="s">
        <v>139</v>
      </c>
      <c r="G667" t="s">
        <v>139</v>
      </c>
      <c r="H667" t="s">
        <v>904</v>
      </c>
      <c r="I667" t="str">
        <f>_xlfn.XLOOKUP(H667,'SO-DIMM-i5'!A:A,'SO-DIMM-i5'!B:B,_xlfn.XLOOKUP(H667,'SO-DIMM-i5'!H:H,'SO-DIMM-i5'!G:G,""))</f>
        <v/>
      </c>
    </row>
    <row r="668" spans="1:9" hidden="1" x14ac:dyDescent="0.25">
      <c r="A668">
        <v>0</v>
      </c>
      <c r="B668" t="s">
        <v>12</v>
      </c>
      <c r="C668" t="s">
        <v>139</v>
      </c>
      <c r="D668" t="s">
        <v>139</v>
      </c>
      <c r="E668" t="s">
        <v>139</v>
      </c>
      <c r="F668" t="s">
        <v>139</v>
      </c>
      <c r="G668" t="s">
        <v>139</v>
      </c>
      <c r="H668" t="s">
        <v>905</v>
      </c>
      <c r="I668" t="str">
        <f>_xlfn.XLOOKUP(H668,'SO-DIMM-i5'!A:A,'SO-DIMM-i5'!B:B,_xlfn.XLOOKUP(H668,'SO-DIMM-i5'!H:H,'SO-DIMM-i5'!G:G,""))</f>
        <v/>
      </c>
    </row>
    <row r="669" spans="1:9" hidden="1" x14ac:dyDescent="0.25">
      <c r="A669">
        <v>0</v>
      </c>
      <c r="B669" t="s">
        <v>12</v>
      </c>
      <c r="C669" t="s">
        <v>139</v>
      </c>
      <c r="D669" t="s">
        <v>139</v>
      </c>
      <c r="E669" t="s">
        <v>139</v>
      </c>
      <c r="F669" t="s">
        <v>139</v>
      </c>
      <c r="G669" t="s">
        <v>139</v>
      </c>
      <c r="H669" t="s">
        <v>906</v>
      </c>
      <c r="I669" t="str">
        <f>_xlfn.XLOOKUP(H669,'SO-DIMM-i5'!A:A,'SO-DIMM-i5'!B:B,_xlfn.XLOOKUP(H669,'SO-DIMM-i5'!H:H,'SO-DIMM-i5'!G:G,""))</f>
        <v/>
      </c>
    </row>
    <row r="670" spans="1:9" hidden="1" x14ac:dyDescent="0.25">
      <c r="A670">
        <v>0</v>
      </c>
      <c r="B670" t="s">
        <v>12</v>
      </c>
      <c r="C670" t="s">
        <v>139</v>
      </c>
      <c r="D670" t="s">
        <v>139</v>
      </c>
      <c r="E670" t="s">
        <v>139</v>
      </c>
      <c r="F670" t="s">
        <v>139</v>
      </c>
      <c r="G670" t="s">
        <v>139</v>
      </c>
      <c r="H670" t="s">
        <v>907</v>
      </c>
      <c r="I670" t="str">
        <f>_xlfn.XLOOKUP(H670,'SO-DIMM-i5'!A:A,'SO-DIMM-i5'!B:B,_xlfn.XLOOKUP(H670,'SO-DIMM-i5'!H:H,'SO-DIMM-i5'!G:G,""))</f>
        <v/>
      </c>
    </row>
    <row r="671" spans="1:9" hidden="1" x14ac:dyDescent="0.25">
      <c r="A671">
        <v>0</v>
      </c>
      <c r="B671" t="s">
        <v>12</v>
      </c>
      <c r="C671" t="s">
        <v>139</v>
      </c>
      <c r="D671" t="s">
        <v>139</v>
      </c>
      <c r="E671" t="s">
        <v>139</v>
      </c>
      <c r="F671" t="s">
        <v>139</v>
      </c>
      <c r="G671" t="s">
        <v>139</v>
      </c>
      <c r="H671" t="s">
        <v>908</v>
      </c>
      <c r="I671" t="str">
        <f>_xlfn.XLOOKUP(H671,'SO-DIMM-i5'!A:A,'SO-DIMM-i5'!B:B,_xlfn.XLOOKUP(H671,'SO-DIMM-i5'!H:H,'SO-DIMM-i5'!G:G,""))</f>
        <v/>
      </c>
    </row>
    <row r="672" spans="1:9" hidden="1" x14ac:dyDescent="0.25">
      <c r="A672">
        <v>0</v>
      </c>
      <c r="B672" t="s">
        <v>12</v>
      </c>
      <c r="C672" t="s">
        <v>139</v>
      </c>
      <c r="D672" t="s">
        <v>139</v>
      </c>
      <c r="E672" t="s">
        <v>139</v>
      </c>
      <c r="F672" t="s">
        <v>139</v>
      </c>
      <c r="G672" t="s">
        <v>139</v>
      </c>
      <c r="H672" t="s">
        <v>909</v>
      </c>
      <c r="I672" t="str">
        <f>_xlfn.XLOOKUP(H672,'SO-DIMM-i5'!A:A,'SO-DIMM-i5'!B:B,_xlfn.XLOOKUP(H672,'SO-DIMM-i5'!H:H,'SO-DIMM-i5'!G:G,""))</f>
        <v/>
      </c>
    </row>
    <row r="673" spans="1:9" hidden="1" x14ac:dyDescent="0.25">
      <c r="A673">
        <v>0</v>
      </c>
      <c r="B673" t="s">
        <v>12</v>
      </c>
      <c r="C673" t="s">
        <v>139</v>
      </c>
      <c r="D673" t="s">
        <v>139</v>
      </c>
      <c r="E673" t="s">
        <v>139</v>
      </c>
      <c r="F673" t="s">
        <v>139</v>
      </c>
      <c r="G673" t="s">
        <v>139</v>
      </c>
      <c r="H673" t="s">
        <v>910</v>
      </c>
      <c r="I673" t="str">
        <f>_xlfn.XLOOKUP(H673,'SO-DIMM-i5'!A:A,'SO-DIMM-i5'!B:B,_xlfn.XLOOKUP(H673,'SO-DIMM-i5'!H:H,'SO-DIMM-i5'!G:G,""))</f>
        <v/>
      </c>
    </row>
    <row r="674" spans="1:9" hidden="1" x14ac:dyDescent="0.25">
      <c r="A674">
        <v>0</v>
      </c>
      <c r="B674" t="s">
        <v>12</v>
      </c>
      <c r="C674" t="s">
        <v>139</v>
      </c>
      <c r="D674" t="s">
        <v>139</v>
      </c>
      <c r="E674" t="s">
        <v>139</v>
      </c>
      <c r="F674" t="s">
        <v>139</v>
      </c>
      <c r="G674" t="s">
        <v>139</v>
      </c>
      <c r="H674" t="s">
        <v>911</v>
      </c>
      <c r="I674" t="str">
        <f>_xlfn.XLOOKUP(H674,'SO-DIMM-i5'!A:A,'SO-DIMM-i5'!B:B,_xlfn.XLOOKUP(H674,'SO-DIMM-i5'!H:H,'SO-DIMM-i5'!G:G,""))</f>
        <v/>
      </c>
    </row>
    <row r="675" spans="1:9" hidden="1" x14ac:dyDescent="0.25">
      <c r="A675">
        <v>0</v>
      </c>
      <c r="B675" t="s">
        <v>12</v>
      </c>
      <c r="C675" t="s">
        <v>139</v>
      </c>
      <c r="D675" t="s">
        <v>139</v>
      </c>
      <c r="E675" t="s">
        <v>139</v>
      </c>
      <c r="F675" t="s">
        <v>139</v>
      </c>
      <c r="G675" t="s">
        <v>139</v>
      </c>
      <c r="H675" t="s">
        <v>912</v>
      </c>
      <c r="I675" t="str">
        <f>_xlfn.XLOOKUP(H675,'SO-DIMM-i5'!A:A,'SO-DIMM-i5'!B:B,_xlfn.XLOOKUP(H675,'SO-DIMM-i5'!H:H,'SO-DIMM-i5'!G:G,""))</f>
        <v/>
      </c>
    </row>
    <row r="676" spans="1:9" hidden="1" x14ac:dyDescent="0.25">
      <c r="A676">
        <v>0</v>
      </c>
      <c r="B676" t="s">
        <v>12</v>
      </c>
      <c r="C676" t="s">
        <v>139</v>
      </c>
      <c r="D676" t="s">
        <v>139</v>
      </c>
      <c r="E676" t="s">
        <v>139</v>
      </c>
      <c r="F676" t="s">
        <v>139</v>
      </c>
      <c r="G676" t="s">
        <v>139</v>
      </c>
      <c r="H676" t="s">
        <v>913</v>
      </c>
      <c r="I676" t="str">
        <f>_xlfn.XLOOKUP(H676,'SO-DIMM-i5'!A:A,'SO-DIMM-i5'!B:B,_xlfn.XLOOKUP(H676,'SO-DIMM-i5'!H:H,'SO-DIMM-i5'!G:G,""))</f>
        <v/>
      </c>
    </row>
    <row r="677" spans="1:9" hidden="1" x14ac:dyDescent="0.25">
      <c r="A677">
        <v>0</v>
      </c>
      <c r="B677" t="s">
        <v>12</v>
      </c>
      <c r="C677" t="s">
        <v>139</v>
      </c>
      <c r="D677" t="s">
        <v>139</v>
      </c>
      <c r="E677" t="s">
        <v>139</v>
      </c>
      <c r="F677" t="s">
        <v>139</v>
      </c>
      <c r="G677" t="s">
        <v>139</v>
      </c>
      <c r="H677" t="s">
        <v>914</v>
      </c>
      <c r="I677" t="str">
        <f>_xlfn.XLOOKUP(H677,'SO-DIMM-i5'!A:A,'SO-DIMM-i5'!B:B,_xlfn.XLOOKUP(H677,'SO-DIMM-i5'!H:H,'SO-DIMM-i5'!G:G,""))</f>
        <v/>
      </c>
    </row>
    <row r="678" spans="1:9" hidden="1" x14ac:dyDescent="0.25">
      <c r="A678">
        <v>0</v>
      </c>
      <c r="B678" t="s">
        <v>12</v>
      </c>
      <c r="C678" t="s">
        <v>139</v>
      </c>
      <c r="D678" t="s">
        <v>139</v>
      </c>
      <c r="E678" t="s">
        <v>139</v>
      </c>
      <c r="F678" t="s">
        <v>139</v>
      </c>
      <c r="G678" t="s">
        <v>139</v>
      </c>
      <c r="H678" t="s">
        <v>915</v>
      </c>
      <c r="I678" t="str">
        <f>_xlfn.XLOOKUP(H678,'SO-DIMM-i5'!A:A,'SO-DIMM-i5'!B:B,_xlfn.XLOOKUP(H678,'SO-DIMM-i5'!H:H,'SO-DIMM-i5'!G:G,""))</f>
        <v/>
      </c>
    </row>
    <row r="679" spans="1:9" hidden="1" x14ac:dyDescent="0.25">
      <c r="A679">
        <v>0</v>
      </c>
      <c r="B679" t="s">
        <v>12</v>
      </c>
      <c r="C679" t="s">
        <v>139</v>
      </c>
      <c r="D679" t="s">
        <v>139</v>
      </c>
      <c r="E679" t="s">
        <v>139</v>
      </c>
      <c r="F679" t="s">
        <v>139</v>
      </c>
      <c r="G679" t="s">
        <v>139</v>
      </c>
      <c r="H679" t="s">
        <v>916</v>
      </c>
      <c r="I679" t="str">
        <f>_xlfn.XLOOKUP(H679,'SO-DIMM-i5'!A:A,'SO-DIMM-i5'!B:B,_xlfn.XLOOKUP(H679,'SO-DIMM-i5'!H:H,'SO-DIMM-i5'!G:G,""))</f>
        <v/>
      </c>
    </row>
    <row r="680" spans="1:9" hidden="1" x14ac:dyDescent="0.25">
      <c r="A680">
        <v>0</v>
      </c>
      <c r="B680" t="s">
        <v>12</v>
      </c>
      <c r="C680" t="s">
        <v>139</v>
      </c>
      <c r="D680" t="s">
        <v>139</v>
      </c>
      <c r="E680" t="s">
        <v>139</v>
      </c>
      <c r="F680" t="s">
        <v>139</v>
      </c>
      <c r="G680" t="s">
        <v>139</v>
      </c>
      <c r="H680" t="s">
        <v>917</v>
      </c>
      <c r="I680" t="str">
        <f>_xlfn.XLOOKUP(H680,'SO-DIMM-i5'!A:A,'SO-DIMM-i5'!B:B,_xlfn.XLOOKUP(H680,'SO-DIMM-i5'!H:H,'SO-DIMM-i5'!G:G,""))</f>
        <v/>
      </c>
    </row>
    <row r="681" spans="1:9" hidden="1" x14ac:dyDescent="0.25">
      <c r="A681">
        <v>0</v>
      </c>
      <c r="B681" t="s">
        <v>12</v>
      </c>
      <c r="C681" t="s">
        <v>139</v>
      </c>
      <c r="D681" t="s">
        <v>139</v>
      </c>
      <c r="E681" t="s">
        <v>139</v>
      </c>
      <c r="F681" t="s">
        <v>139</v>
      </c>
      <c r="G681" t="s">
        <v>139</v>
      </c>
      <c r="H681" t="s">
        <v>918</v>
      </c>
      <c r="I681" t="str">
        <f>_xlfn.XLOOKUP(H681,'SO-DIMM-i5'!A:A,'SO-DIMM-i5'!B:B,_xlfn.XLOOKUP(H681,'SO-DIMM-i5'!H:H,'SO-DIMM-i5'!G:G,""))</f>
        <v/>
      </c>
    </row>
    <row r="682" spans="1:9" hidden="1" x14ac:dyDescent="0.25">
      <c r="A682">
        <v>0</v>
      </c>
      <c r="B682" t="s">
        <v>12</v>
      </c>
      <c r="C682" t="s">
        <v>139</v>
      </c>
      <c r="D682" t="s">
        <v>139</v>
      </c>
      <c r="E682" t="s">
        <v>139</v>
      </c>
      <c r="F682" t="s">
        <v>139</v>
      </c>
      <c r="G682" t="s">
        <v>139</v>
      </c>
      <c r="H682" t="s">
        <v>139</v>
      </c>
      <c r="I682" t="str">
        <f>_xlfn.XLOOKUP(H682,'SO-DIMM-i5'!A:A,'SO-DIMM-i5'!B:B,_xlfn.XLOOKUP(H682,'SO-DIMM-i5'!H:H,'SO-DIMM-i5'!G:G,""))</f>
        <v/>
      </c>
    </row>
    <row r="683" spans="1:9" hidden="1" x14ac:dyDescent="0.25">
      <c r="A683">
        <v>0</v>
      </c>
      <c r="B683" t="s">
        <v>12</v>
      </c>
      <c r="C683" t="s">
        <v>139</v>
      </c>
      <c r="D683" t="s">
        <v>139</v>
      </c>
      <c r="E683" t="s">
        <v>139</v>
      </c>
      <c r="F683" t="s">
        <v>139</v>
      </c>
      <c r="G683" t="s">
        <v>139</v>
      </c>
      <c r="H683" t="s">
        <v>139</v>
      </c>
      <c r="I683" t="str">
        <f>_xlfn.XLOOKUP(H683,'SO-DIMM-i5'!A:A,'SO-DIMM-i5'!B:B,_xlfn.XLOOKUP(H683,'SO-DIMM-i5'!H:H,'SO-DIMM-i5'!G:G,""))</f>
        <v/>
      </c>
    </row>
    <row r="684" spans="1:9" hidden="1" x14ac:dyDescent="0.25">
      <c r="A684">
        <v>0</v>
      </c>
      <c r="B684" t="s">
        <v>12</v>
      </c>
      <c r="C684" t="s">
        <v>139</v>
      </c>
      <c r="D684" t="s">
        <v>139</v>
      </c>
      <c r="E684" t="s">
        <v>139</v>
      </c>
      <c r="F684" t="s">
        <v>139</v>
      </c>
      <c r="G684" t="s">
        <v>139</v>
      </c>
      <c r="H684" t="s">
        <v>139</v>
      </c>
      <c r="I684" t="str">
        <f>_xlfn.XLOOKUP(H684,'SO-DIMM-i5'!A:A,'SO-DIMM-i5'!B:B,_xlfn.XLOOKUP(H684,'SO-DIMM-i5'!H:H,'SO-DIMM-i5'!G:G,""))</f>
        <v/>
      </c>
    </row>
    <row r="685" spans="1:9" hidden="1" x14ac:dyDescent="0.25">
      <c r="A685">
        <v>0</v>
      </c>
      <c r="B685" t="s">
        <v>12</v>
      </c>
      <c r="C685" t="s">
        <v>139</v>
      </c>
      <c r="D685" t="s">
        <v>139</v>
      </c>
      <c r="E685" t="s">
        <v>139</v>
      </c>
      <c r="F685" t="s">
        <v>139</v>
      </c>
      <c r="G685" t="s">
        <v>139</v>
      </c>
      <c r="H685" t="s">
        <v>139</v>
      </c>
      <c r="I685" t="str">
        <f>_xlfn.XLOOKUP(H685,'SO-DIMM-i5'!A:A,'SO-DIMM-i5'!B:B,_xlfn.XLOOKUP(H685,'SO-DIMM-i5'!H:H,'SO-DIMM-i5'!G:G,""))</f>
        <v/>
      </c>
    </row>
    <row r="686" spans="1:9" hidden="1" x14ac:dyDescent="0.25">
      <c r="A686">
        <v>0</v>
      </c>
      <c r="B686" t="s">
        <v>12</v>
      </c>
      <c r="C686" t="s">
        <v>139</v>
      </c>
      <c r="D686" t="s">
        <v>139</v>
      </c>
      <c r="E686" t="s">
        <v>139</v>
      </c>
      <c r="F686" t="s">
        <v>139</v>
      </c>
      <c r="G686" t="s">
        <v>139</v>
      </c>
      <c r="H686" t="s">
        <v>139</v>
      </c>
      <c r="I686" t="str">
        <f>_xlfn.XLOOKUP(H686,'SO-DIMM-i5'!A:A,'SO-DIMM-i5'!B:B,_xlfn.XLOOKUP(H686,'SO-DIMM-i5'!H:H,'SO-DIMM-i5'!G:G,""))</f>
        <v/>
      </c>
    </row>
    <row r="687" spans="1:9" hidden="1" x14ac:dyDescent="0.25">
      <c r="A687">
        <v>0</v>
      </c>
      <c r="B687" t="s">
        <v>12</v>
      </c>
      <c r="C687" t="s">
        <v>139</v>
      </c>
      <c r="D687" t="s">
        <v>139</v>
      </c>
      <c r="E687" t="s">
        <v>139</v>
      </c>
      <c r="F687" t="s">
        <v>139</v>
      </c>
      <c r="G687" t="s">
        <v>139</v>
      </c>
      <c r="H687" t="s">
        <v>139</v>
      </c>
      <c r="I687" t="str">
        <f>_xlfn.XLOOKUP(H687,'SO-DIMM-i5'!A:A,'SO-DIMM-i5'!B:B,_xlfn.XLOOKUP(H687,'SO-DIMM-i5'!H:H,'SO-DIMM-i5'!G:G,""))</f>
        <v/>
      </c>
    </row>
    <row r="688" spans="1:9" hidden="1" x14ac:dyDescent="0.25">
      <c r="A688">
        <v>0</v>
      </c>
      <c r="B688" t="s">
        <v>12</v>
      </c>
      <c r="C688" t="s">
        <v>139</v>
      </c>
      <c r="D688" t="s">
        <v>139</v>
      </c>
      <c r="E688" t="s">
        <v>139</v>
      </c>
      <c r="F688" t="s">
        <v>139</v>
      </c>
      <c r="G688" t="s">
        <v>139</v>
      </c>
      <c r="H688" t="s">
        <v>139</v>
      </c>
      <c r="I688" t="str">
        <f>_xlfn.XLOOKUP(H688,'SO-DIMM-i5'!A:A,'SO-DIMM-i5'!B:B,_xlfn.XLOOKUP(H688,'SO-DIMM-i5'!H:H,'SO-DIMM-i5'!G:G,""))</f>
        <v/>
      </c>
    </row>
    <row r="689" spans="1:9" hidden="1" x14ac:dyDescent="0.25">
      <c r="A689">
        <v>0</v>
      </c>
      <c r="B689" t="s">
        <v>12</v>
      </c>
      <c r="C689" t="s">
        <v>139</v>
      </c>
      <c r="D689" t="s">
        <v>139</v>
      </c>
      <c r="E689" t="s">
        <v>139</v>
      </c>
      <c r="F689" t="s">
        <v>139</v>
      </c>
      <c r="G689" t="s">
        <v>139</v>
      </c>
      <c r="H689" t="s">
        <v>139</v>
      </c>
      <c r="I689" t="str">
        <f>_xlfn.XLOOKUP(H689,'SO-DIMM-i5'!A:A,'SO-DIMM-i5'!B:B,_xlfn.XLOOKUP(H689,'SO-DIMM-i5'!H:H,'SO-DIMM-i5'!G:G,""))</f>
        <v/>
      </c>
    </row>
    <row r="690" spans="1:9" hidden="1" x14ac:dyDescent="0.25">
      <c r="A690">
        <v>0</v>
      </c>
      <c r="B690" t="s">
        <v>12</v>
      </c>
      <c r="C690" t="s">
        <v>139</v>
      </c>
      <c r="D690" t="s">
        <v>139</v>
      </c>
      <c r="E690" t="s">
        <v>139</v>
      </c>
      <c r="F690" t="s">
        <v>139</v>
      </c>
      <c r="G690" t="s">
        <v>139</v>
      </c>
      <c r="H690" t="s">
        <v>139</v>
      </c>
      <c r="I690" t="str">
        <f>_xlfn.XLOOKUP(H690,'SO-DIMM-i5'!A:A,'SO-DIMM-i5'!B:B,_xlfn.XLOOKUP(H690,'SO-DIMM-i5'!H:H,'SO-DIMM-i5'!G:G,""))</f>
        <v/>
      </c>
    </row>
    <row r="691" spans="1:9" hidden="1" x14ac:dyDescent="0.25">
      <c r="A691">
        <v>0</v>
      </c>
      <c r="B691" t="s">
        <v>12</v>
      </c>
      <c r="C691" t="s">
        <v>139</v>
      </c>
      <c r="D691" t="s">
        <v>139</v>
      </c>
      <c r="E691" t="s">
        <v>139</v>
      </c>
      <c r="F691" t="s">
        <v>139</v>
      </c>
      <c r="G691" t="s">
        <v>139</v>
      </c>
      <c r="H691" t="s">
        <v>139</v>
      </c>
      <c r="I691" t="str">
        <f>_xlfn.XLOOKUP(H691,'SO-DIMM-i5'!A:A,'SO-DIMM-i5'!B:B,_xlfn.XLOOKUP(H691,'SO-DIMM-i5'!H:H,'SO-DIMM-i5'!G:G,""))</f>
        <v/>
      </c>
    </row>
    <row r="692" spans="1:9" hidden="1" x14ac:dyDescent="0.25">
      <c r="A692">
        <v>0</v>
      </c>
      <c r="B692" t="s">
        <v>12</v>
      </c>
      <c r="C692" t="s">
        <v>139</v>
      </c>
      <c r="D692" t="s">
        <v>139</v>
      </c>
      <c r="E692" t="s">
        <v>139</v>
      </c>
      <c r="F692" t="s">
        <v>139</v>
      </c>
      <c r="G692" t="s">
        <v>139</v>
      </c>
      <c r="H692" t="s">
        <v>139</v>
      </c>
      <c r="I692" t="str">
        <f>_xlfn.XLOOKUP(H692,'SO-DIMM-i5'!A:A,'SO-DIMM-i5'!B:B,_xlfn.XLOOKUP(H692,'SO-DIMM-i5'!H:H,'SO-DIMM-i5'!G:G,""))</f>
        <v/>
      </c>
    </row>
    <row r="693" spans="1:9" hidden="1" x14ac:dyDescent="0.25">
      <c r="A693">
        <v>0</v>
      </c>
      <c r="B693" t="s">
        <v>12</v>
      </c>
      <c r="C693" t="s">
        <v>139</v>
      </c>
      <c r="D693" t="s">
        <v>139</v>
      </c>
      <c r="E693" t="s">
        <v>139</v>
      </c>
      <c r="F693" t="s">
        <v>139</v>
      </c>
      <c r="G693" t="s">
        <v>139</v>
      </c>
      <c r="H693" t="s">
        <v>139</v>
      </c>
      <c r="I693" t="str">
        <f>_xlfn.XLOOKUP(H693,'SO-DIMM-i5'!A:A,'SO-DIMM-i5'!B:B,_xlfn.XLOOKUP(H693,'SO-DIMM-i5'!H:H,'SO-DIMM-i5'!G:G,""))</f>
        <v/>
      </c>
    </row>
  </sheetData>
  <autoFilter ref="A1:I693" xr:uid="{EBDA76CA-BD86-41E2-9ECE-DED3F1DCC7CA}"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9983-90F1-4411-8B16-A4FF0BC54779}">
  <dimension ref="A1:K103"/>
  <sheetViews>
    <sheetView topLeftCell="A25" workbookViewId="0">
      <selection activeCell="A24" sqref="A24"/>
    </sheetView>
  </sheetViews>
  <sheetFormatPr defaultColWidth="20.140625" defaultRowHeight="15" x14ac:dyDescent="0.25"/>
  <cols>
    <col min="1" max="1" width="8.7109375" bestFit="1" customWidth="1"/>
    <col min="2" max="2" width="7.85546875" bestFit="1" customWidth="1"/>
    <col min="3" max="6" width="7.85546875" customWidth="1"/>
    <col min="7" max="7" width="7.42578125" bestFit="1" customWidth="1"/>
    <col min="8" max="8" width="8.7109375" bestFit="1" customWidth="1"/>
    <col min="9" max="9" width="9.140625" customWidth="1"/>
    <col min="11" max="11" width="8.5703125" customWidth="1"/>
    <col min="12" max="12" width="5.5703125" customWidth="1"/>
  </cols>
  <sheetData>
    <row r="1" spans="1:11" x14ac:dyDescent="0.25">
      <c r="A1" t="s">
        <v>0</v>
      </c>
      <c r="B1" t="s">
        <v>1</v>
      </c>
      <c r="C1" t="s">
        <v>131</v>
      </c>
      <c r="D1" t="s">
        <v>2</v>
      </c>
      <c r="E1" t="s">
        <v>2</v>
      </c>
      <c r="F1" t="s">
        <v>131</v>
      </c>
      <c r="G1" t="s">
        <v>3</v>
      </c>
      <c r="H1" t="s">
        <v>0</v>
      </c>
      <c r="K1" t="s">
        <v>1114</v>
      </c>
    </row>
    <row r="2" spans="1:11" x14ac:dyDescent="0.25">
      <c r="A2" t="s">
        <v>4</v>
      </c>
      <c r="B2">
        <v>1</v>
      </c>
      <c r="C2" t="str">
        <f>_xlfn.XLOOKUP(B2,'FPGA-SC-02033-2-0-ECP5U-25-Pino'!I:I,'FPGA-SC-02033-2-0-ECP5U-25-Pino'!C:C,"")</f>
        <v/>
      </c>
      <c r="D2">
        <f>COUNTIF(K:K,A2)</f>
        <v>0</v>
      </c>
      <c r="E2">
        <f>COUNTIF(K:K,H2)</f>
        <v>0</v>
      </c>
      <c r="F2" t="str">
        <f>_xlfn.XLOOKUP(G2,'FPGA-SC-02033-2-0-ECP5U-25-Pino'!I:I,'FPGA-SC-02033-2-0-ECP5U-25-Pino'!C:C,"")</f>
        <v/>
      </c>
      <c r="G2">
        <v>2</v>
      </c>
      <c r="H2" t="s">
        <v>5</v>
      </c>
      <c r="I2">
        <f>D2+E2</f>
        <v>0</v>
      </c>
      <c r="K2" t="s">
        <v>6</v>
      </c>
    </row>
    <row r="3" spans="1:11" x14ac:dyDescent="0.25">
      <c r="A3" t="s">
        <v>4</v>
      </c>
      <c r="B3">
        <v>3</v>
      </c>
      <c r="C3" t="str">
        <f>_xlfn.XLOOKUP(B3,'FPGA-SC-02033-2-0-ECP5U-25-Pino'!I:I,'FPGA-SC-02033-2-0-ECP5U-25-Pino'!C:C,"")</f>
        <v/>
      </c>
      <c r="D3">
        <f t="shared" ref="D3:D21" si="0">COUNTIF(K:K,A3)</f>
        <v>0</v>
      </c>
      <c r="E3">
        <f t="shared" ref="E3:E21" si="1">COUNTIF(K:K,H3)</f>
        <v>0</v>
      </c>
      <c r="F3" t="str">
        <f>_xlfn.XLOOKUP(G3,'FPGA-SC-02033-2-0-ECP5U-25-Pino'!I:I,'FPGA-SC-02033-2-0-ECP5U-25-Pino'!C:C,"")</f>
        <v/>
      </c>
      <c r="G3">
        <v>4</v>
      </c>
      <c r="H3" t="s">
        <v>5</v>
      </c>
      <c r="I3">
        <f t="shared" ref="I3:I66" si="2">D3+E3</f>
        <v>0</v>
      </c>
      <c r="K3" t="s">
        <v>113</v>
      </c>
    </row>
    <row r="4" spans="1:11" x14ac:dyDescent="0.25">
      <c r="A4" t="s">
        <v>4</v>
      </c>
      <c r="B4">
        <v>5</v>
      </c>
      <c r="C4" t="str">
        <f>_xlfn.XLOOKUP(B4,'FPGA-SC-02033-2-0-ECP5U-25-Pino'!I:I,'FPGA-SC-02033-2-0-ECP5U-25-Pino'!C:C,"")</f>
        <v/>
      </c>
      <c r="D4">
        <f t="shared" si="0"/>
        <v>0</v>
      </c>
      <c r="E4">
        <f t="shared" si="1"/>
        <v>0</v>
      </c>
      <c r="F4" t="str">
        <f>_xlfn.XLOOKUP(G4,'FPGA-SC-02033-2-0-ECP5U-25-Pino'!I:I,'FPGA-SC-02033-2-0-ECP5U-25-Pino'!C:C,"")</f>
        <v/>
      </c>
      <c r="G4">
        <v>6</v>
      </c>
      <c r="H4" t="s">
        <v>5</v>
      </c>
      <c r="I4">
        <f t="shared" si="2"/>
        <v>0</v>
      </c>
      <c r="K4" t="s">
        <v>7</v>
      </c>
    </row>
    <row r="5" spans="1:11" x14ac:dyDescent="0.25">
      <c r="A5" t="s">
        <v>4</v>
      </c>
      <c r="B5">
        <v>7</v>
      </c>
      <c r="C5" t="str">
        <f>_xlfn.XLOOKUP(B5,'FPGA-SC-02033-2-0-ECP5U-25-Pino'!I:I,'FPGA-SC-02033-2-0-ECP5U-25-Pino'!C:C,"")</f>
        <v/>
      </c>
      <c r="D5">
        <f t="shared" si="0"/>
        <v>0</v>
      </c>
      <c r="E5">
        <f t="shared" si="1"/>
        <v>0</v>
      </c>
      <c r="F5" t="str">
        <f>_xlfn.XLOOKUP(G5,'FPGA-SC-02033-2-0-ECP5U-25-Pino'!I:I,'FPGA-SC-02033-2-0-ECP5U-25-Pino'!C:C,"")</f>
        <v/>
      </c>
      <c r="G5">
        <v>8</v>
      </c>
      <c r="H5" t="s">
        <v>5</v>
      </c>
      <c r="I5">
        <f t="shared" si="2"/>
        <v>0</v>
      </c>
      <c r="K5" t="s">
        <v>127</v>
      </c>
    </row>
    <row r="6" spans="1:11" x14ac:dyDescent="0.25">
      <c r="A6" t="s">
        <v>4</v>
      </c>
      <c r="B6">
        <v>9</v>
      </c>
      <c r="C6" t="str">
        <f>_xlfn.XLOOKUP(B6,'FPGA-SC-02033-2-0-ECP5U-25-Pino'!I:I,'FPGA-SC-02033-2-0-ECP5U-25-Pino'!C:C,"")</f>
        <v/>
      </c>
      <c r="D6">
        <f t="shared" si="0"/>
        <v>0</v>
      </c>
      <c r="E6">
        <f t="shared" si="1"/>
        <v>0</v>
      </c>
      <c r="F6" t="str">
        <f>_xlfn.XLOOKUP(G6,'FPGA-SC-02033-2-0-ECP5U-25-Pino'!I:I,'FPGA-SC-02033-2-0-ECP5U-25-Pino'!C:C,"")</f>
        <v/>
      </c>
      <c r="G6">
        <v>10</v>
      </c>
      <c r="H6" t="s">
        <v>5</v>
      </c>
      <c r="I6">
        <f t="shared" si="2"/>
        <v>0</v>
      </c>
      <c r="K6" t="s">
        <v>8</v>
      </c>
    </row>
    <row r="7" spans="1:11" x14ac:dyDescent="0.25">
      <c r="A7" t="s">
        <v>4</v>
      </c>
      <c r="B7">
        <v>11</v>
      </c>
      <c r="C7" t="str">
        <f>_xlfn.XLOOKUP(B7,'FPGA-SC-02033-2-0-ECP5U-25-Pino'!I:I,'FPGA-SC-02033-2-0-ECP5U-25-Pino'!C:C,"")</f>
        <v/>
      </c>
      <c r="D7">
        <f t="shared" si="0"/>
        <v>0</v>
      </c>
      <c r="E7">
        <f t="shared" si="1"/>
        <v>0</v>
      </c>
      <c r="F7" t="str">
        <f>_xlfn.XLOOKUP(G7,'FPGA-SC-02033-2-0-ECP5U-25-Pino'!I:I,'FPGA-SC-02033-2-0-ECP5U-25-Pino'!C:C,"")</f>
        <v/>
      </c>
      <c r="G7">
        <v>12</v>
      </c>
      <c r="H7" t="s">
        <v>5</v>
      </c>
      <c r="I7">
        <f t="shared" si="2"/>
        <v>0</v>
      </c>
      <c r="K7" t="s">
        <v>123</v>
      </c>
    </row>
    <row r="8" spans="1:11" x14ac:dyDescent="0.25">
      <c r="A8" t="s">
        <v>12</v>
      </c>
      <c r="B8">
        <v>13</v>
      </c>
      <c r="C8" t="str">
        <f>_xlfn.XLOOKUP(B8,'FPGA-SC-02033-2-0-ECP5U-25-Pino'!I:I,'FPGA-SC-02033-2-0-ECP5U-25-Pino'!C:C,"")</f>
        <v/>
      </c>
      <c r="D8">
        <f t="shared" si="0"/>
        <v>0</v>
      </c>
      <c r="E8">
        <f t="shared" si="1"/>
        <v>0</v>
      </c>
      <c r="F8" t="str">
        <f>_xlfn.XLOOKUP(G8,'FPGA-SC-02033-2-0-ECP5U-25-Pino'!I:I,'FPGA-SC-02033-2-0-ECP5U-25-Pino'!C:C,"")</f>
        <v/>
      </c>
      <c r="G8">
        <v>14</v>
      </c>
      <c r="H8" t="s">
        <v>12</v>
      </c>
      <c r="I8">
        <f t="shared" si="2"/>
        <v>0</v>
      </c>
      <c r="K8" t="s">
        <v>9</v>
      </c>
    </row>
    <row r="9" spans="1:11" x14ac:dyDescent="0.25">
      <c r="A9" t="s">
        <v>14</v>
      </c>
      <c r="B9">
        <v>15</v>
      </c>
      <c r="C9" t="str">
        <f>_xlfn.XLOOKUP(B9,'FPGA-SC-02033-2-0-ECP5U-25-Pino'!I:I,'FPGA-SC-02033-2-0-ECP5U-25-Pino'!C:C,"")</f>
        <v/>
      </c>
      <c r="D9">
        <f t="shared" si="0"/>
        <v>0</v>
      </c>
      <c r="E9">
        <f t="shared" si="1"/>
        <v>0</v>
      </c>
      <c r="F9" t="str">
        <f>_xlfn.XLOOKUP(G9,'FPGA-SC-02033-2-0-ECP5U-25-Pino'!I:I,'FPGA-SC-02033-2-0-ECP5U-25-Pino'!C:C,"")</f>
        <v/>
      </c>
      <c r="G9">
        <v>16</v>
      </c>
      <c r="H9" t="s">
        <v>15</v>
      </c>
      <c r="I9">
        <f t="shared" si="2"/>
        <v>0</v>
      </c>
      <c r="K9" t="s">
        <v>10</v>
      </c>
    </row>
    <row r="10" spans="1:11" x14ac:dyDescent="0.25">
      <c r="A10" t="s">
        <v>17</v>
      </c>
      <c r="B10">
        <v>17</v>
      </c>
      <c r="C10" t="str">
        <f>_xlfn.XLOOKUP(B10,'FPGA-SC-02033-2-0-ECP5U-25-Pino'!I:I,'FPGA-SC-02033-2-0-ECP5U-25-Pino'!C:C,"")</f>
        <v/>
      </c>
      <c r="D10">
        <f t="shared" si="0"/>
        <v>0</v>
      </c>
      <c r="E10">
        <f t="shared" si="1"/>
        <v>0</v>
      </c>
      <c r="F10" t="str">
        <f>_xlfn.XLOOKUP(G10,'FPGA-SC-02033-2-0-ECP5U-25-Pino'!I:I,'FPGA-SC-02033-2-0-ECP5U-25-Pino'!C:C,"")</f>
        <v/>
      </c>
      <c r="G10">
        <v>18</v>
      </c>
      <c r="H10" t="s">
        <v>18</v>
      </c>
      <c r="I10">
        <f t="shared" si="2"/>
        <v>0</v>
      </c>
      <c r="K10" t="s">
        <v>67</v>
      </c>
    </row>
    <row r="11" spans="1:11" x14ac:dyDescent="0.25">
      <c r="A11" t="s">
        <v>12</v>
      </c>
      <c r="B11">
        <v>19</v>
      </c>
      <c r="C11" t="str">
        <f>_xlfn.XLOOKUP(B11,'FPGA-SC-02033-2-0-ECP5U-25-Pino'!I:I,'FPGA-SC-02033-2-0-ECP5U-25-Pino'!C:C,"")</f>
        <v/>
      </c>
      <c r="D11">
        <f t="shared" si="0"/>
        <v>0</v>
      </c>
      <c r="E11">
        <f t="shared" si="1"/>
        <v>0</v>
      </c>
      <c r="F11" t="str">
        <f>_xlfn.XLOOKUP(G11,'FPGA-SC-02033-2-0-ECP5U-25-Pino'!I:I,'FPGA-SC-02033-2-0-ECP5U-25-Pino'!C:C,"")</f>
        <v/>
      </c>
      <c r="G11">
        <v>20</v>
      </c>
      <c r="H11" t="s">
        <v>12</v>
      </c>
      <c r="I11">
        <f t="shared" si="2"/>
        <v>0</v>
      </c>
      <c r="K11" t="s">
        <v>11</v>
      </c>
    </row>
    <row r="12" spans="1:11" x14ac:dyDescent="0.25">
      <c r="A12" t="s">
        <v>20</v>
      </c>
      <c r="B12">
        <v>21</v>
      </c>
      <c r="C12" t="str">
        <f>_xlfn.XLOOKUP(B12,'FPGA-SC-02033-2-0-ECP5U-25-Pino'!I:I,'FPGA-SC-02033-2-0-ECP5U-25-Pino'!C:C,"")</f>
        <v/>
      </c>
      <c r="D12">
        <f t="shared" si="0"/>
        <v>0</v>
      </c>
      <c r="E12">
        <f t="shared" si="1"/>
        <v>0</v>
      </c>
      <c r="F12" t="str">
        <f>_xlfn.XLOOKUP(G12,'FPGA-SC-02033-2-0-ECP5U-25-Pino'!I:I,'FPGA-SC-02033-2-0-ECP5U-25-Pino'!C:C,"")</f>
        <v/>
      </c>
      <c r="G12">
        <v>22</v>
      </c>
      <c r="H12" t="s">
        <v>21</v>
      </c>
      <c r="I12">
        <f t="shared" si="2"/>
        <v>0</v>
      </c>
      <c r="K12" t="s">
        <v>69</v>
      </c>
    </row>
    <row r="13" spans="1:11" x14ac:dyDescent="0.25">
      <c r="A13" t="s">
        <v>22</v>
      </c>
      <c r="B13">
        <v>23</v>
      </c>
      <c r="C13" t="str">
        <f>_xlfn.XLOOKUP(B13,'FPGA-SC-02033-2-0-ECP5U-25-Pino'!I:I,'FPGA-SC-02033-2-0-ECP5U-25-Pino'!C:C,"")</f>
        <v/>
      </c>
      <c r="D13">
        <f t="shared" si="0"/>
        <v>0</v>
      </c>
      <c r="E13">
        <f t="shared" si="1"/>
        <v>0</v>
      </c>
      <c r="F13" t="str">
        <f>_xlfn.XLOOKUP(G13,'FPGA-SC-02033-2-0-ECP5U-25-Pino'!I:I,'FPGA-SC-02033-2-0-ECP5U-25-Pino'!C:C,"")</f>
        <v/>
      </c>
      <c r="G13">
        <v>24</v>
      </c>
      <c r="H13" t="s">
        <v>23</v>
      </c>
      <c r="I13">
        <f t="shared" si="2"/>
        <v>0</v>
      </c>
      <c r="K13" t="s">
        <v>13</v>
      </c>
    </row>
    <row r="14" spans="1:11" x14ac:dyDescent="0.25">
      <c r="A14" t="s">
        <v>12</v>
      </c>
      <c r="B14">
        <v>25</v>
      </c>
      <c r="C14" t="str">
        <f>_xlfn.XLOOKUP(B14,'FPGA-SC-02033-2-0-ECP5U-25-Pino'!I:I,'FPGA-SC-02033-2-0-ECP5U-25-Pino'!C:C,"")</f>
        <v/>
      </c>
      <c r="D14">
        <f t="shared" si="0"/>
        <v>0</v>
      </c>
      <c r="E14">
        <f t="shared" si="1"/>
        <v>0</v>
      </c>
      <c r="F14" t="str">
        <f>_xlfn.XLOOKUP(G14,'FPGA-SC-02033-2-0-ECP5U-25-Pino'!I:I,'FPGA-SC-02033-2-0-ECP5U-25-Pino'!C:C,"")</f>
        <v/>
      </c>
      <c r="G14">
        <v>26</v>
      </c>
      <c r="H14" t="s">
        <v>12</v>
      </c>
      <c r="I14">
        <f t="shared" si="2"/>
        <v>0</v>
      </c>
      <c r="K14" t="s">
        <v>72</v>
      </c>
    </row>
    <row r="15" spans="1:11" x14ac:dyDescent="0.25">
      <c r="A15" t="s">
        <v>24</v>
      </c>
      <c r="B15">
        <v>27</v>
      </c>
      <c r="C15" t="str">
        <f>_xlfn.XLOOKUP(B15,'FPGA-SC-02033-2-0-ECP5U-25-Pino'!I:I,'FPGA-SC-02033-2-0-ECP5U-25-Pino'!C:C,"")</f>
        <v/>
      </c>
      <c r="D15">
        <f t="shared" si="0"/>
        <v>0</v>
      </c>
      <c r="E15">
        <f t="shared" si="1"/>
        <v>0</v>
      </c>
      <c r="F15" t="str">
        <f>_xlfn.XLOOKUP(G15,'FPGA-SC-02033-2-0-ECP5U-25-Pino'!I:I,'FPGA-SC-02033-2-0-ECP5U-25-Pino'!C:C,"")</f>
        <v/>
      </c>
      <c r="G15">
        <v>28</v>
      </c>
      <c r="H15" t="s">
        <v>25</v>
      </c>
      <c r="I15">
        <f t="shared" si="2"/>
        <v>0</v>
      </c>
      <c r="K15" t="s">
        <v>16</v>
      </c>
    </row>
    <row r="16" spans="1:11" x14ac:dyDescent="0.25">
      <c r="A16" t="s">
        <v>26</v>
      </c>
      <c r="B16">
        <v>29</v>
      </c>
      <c r="C16" t="str">
        <f>_xlfn.XLOOKUP(B16,'FPGA-SC-02033-2-0-ECP5U-25-Pino'!I:I,'FPGA-SC-02033-2-0-ECP5U-25-Pino'!C:C,"")</f>
        <v/>
      </c>
      <c r="D16">
        <f t="shared" si="0"/>
        <v>0</v>
      </c>
      <c r="E16">
        <f t="shared" si="1"/>
        <v>0</v>
      </c>
      <c r="F16" t="str">
        <f>_xlfn.XLOOKUP(G16,'FPGA-SC-02033-2-0-ECP5U-25-Pino'!I:I,'FPGA-SC-02033-2-0-ECP5U-25-Pino'!C:C,"")</f>
        <v/>
      </c>
      <c r="G16">
        <v>30</v>
      </c>
      <c r="H16" t="s">
        <v>27</v>
      </c>
      <c r="I16">
        <f t="shared" si="2"/>
        <v>0</v>
      </c>
      <c r="K16" t="s">
        <v>66</v>
      </c>
    </row>
    <row r="17" spans="1:11" x14ac:dyDescent="0.25">
      <c r="A17" t="s">
        <v>12</v>
      </c>
      <c r="B17">
        <v>31</v>
      </c>
      <c r="C17" t="str">
        <f>_xlfn.XLOOKUP(B17,'FPGA-SC-02033-2-0-ECP5U-25-Pino'!I:I,'FPGA-SC-02033-2-0-ECP5U-25-Pino'!C:C,"")</f>
        <v/>
      </c>
      <c r="D17">
        <f t="shared" si="0"/>
        <v>0</v>
      </c>
      <c r="E17">
        <f t="shared" si="1"/>
        <v>0</v>
      </c>
      <c r="F17" t="str">
        <f>_xlfn.XLOOKUP(G17,'FPGA-SC-02033-2-0-ECP5U-25-Pino'!I:I,'FPGA-SC-02033-2-0-ECP5U-25-Pino'!C:C,"")</f>
        <v/>
      </c>
      <c r="G17">
        <v>32</v>
      </c>
      <c r="H17" t="s">
        <v>12</v>
      </c>
      <c r="I17">
        <f t="shared" si="2"/>
        <v>0</v>
      </c>
      <c r="K17" t="s">
        <v>19</v>
      </c>
    </row>
    <row r="18" spans="1:11" x14ac:dyDescent="0.25">
      <c r="A18" t="s">
        <v>28</v>
      </c>
      <c r="B18">
        <v>33</v>
      </c>
      <c r="C18" t="str">
        <f>_xlfn.XLOOKUP(B18,'FPGA-SC-02033-2-0-ECP5U-25-Pino'!I:I,'FPGA-SC-02033-2-0-ECP5U-25-Pino'!C:C,"")</f>
        <v/>
      </c>
      <c r="D18">
        <f t="shared" si="0"/>
        <v>0</v>
      </c>
      <c r="E18">
        <f t="shared" si="1"/>
        <v>0</v>
      </c>
      <c r="F18" t="str">
        <f>_xlfn.XLOOKUP(G18,'FPGA-SC-02033-2-0-ECP5U-25-Pino'!I:I,'FPGA-SC-02033-2-0-ECP5U-25-Pino'!C:C,"")</f>
        <v/>
      </c>
      <c r="G18">
        <v>34</v>
      </c>
      <c r="H18" t="s">
        <v>29</v>
      </c>
      <c r="I18">
        <f t="shared" si="2"/>
        <v>0</v>
      </c>
    </row>
    <row r="19" spans="1:11" x14ac:dyDescent="0.25">
      <c r="A19" t="s">
        <v>30</v>
      </c>
      <c r="B19">
        <v>35</v>
      </c>
      <c r="C19" t="str">
        <f>_xlfn.XLOOKUP(B19,'FPGA-SC-02033-2-0-ECP5U-25-Pino'!I:I,'FPGA-SC-02033-2-0-ECP5U-25-Pino'!C:C,"")</f>
        <v/>
      </c>
      <c r="D19">
        <f t="shared" si="0"/>
        <v>0</v>
      </c>
      <c r="E19">
        <f t="shared" si="1"/>
        <v>0</v>
      </c>
      <c r="F19" t="str">
        <f>_xlfn.XLOOKUP(G19,'FPGA-SC-02033-2-0-ECP5U-25-Pino'!I:I,'FPGA-SC-02033-2-0-ECP5U-25-Pino'!C:C,"")</f>
        <v/>
      </c>
      <c r="G19">
        <v>36</v>
      </c>
      <c r="H19" t="s">
        <v>31</v>
      </c>
      <c r="I19">
        <f t="shared" si="2"/>
        <v>0</v>
      </c>
    </row>
    <row r="20" spans="1:11" x14ac:dyDescent="0.25">
      <c r="A20" t="s">
        <v>12</v>
      </c>
      <c r="B20">
        <v>37</v>
      </c>
      <c r="C20" t="str">
        <f>_xlfn.XLOOKUP(B20,'FPGA-SC-02033-2-0-ECP5U-25-Pino'!I:I,'FPGA-SC-02033-2-0-ECP5U-25-Pino'!C:C,"")</f>
        <v/>
      </c>
      <c r="D20">
        <f t="shared" si="0"/>
        <v>0</v>
      </c>
      <c r="E20">
        <f t="shared" si="1"/>
        <v>0</v>
      </c>
      <c r="F20" t="str">
        <f>_xlfn.XLOOKUP(G20,'FPGA-SC-02033-2-0-ECP5U-25-Pino'!I:I,'FPGA-SC-02033-2-0-ECP5U-25-Pino'!C:C,"")</f>
        <v/>
      </c>
      <c r="G20">
        <v>38</v>
      </c>
      <c r="H20" t="s">
        <v>12</v>
      </c>
      <c r="I20">
        <f t="shared" si="2"/>
        <v>0</v>
      </c>
    </row>
    <row r="21" spans="1:11" x14ac:dyDescent="0.25">
      <c r="A21" t="s">
        <v>4</v>
      </c>
      <c r="B21">
        <v>39</v>
      </c>
      <c r="C21" t="str">
        <f>_xlfn.XLOOKUP(B21,'FPGA-SC-02033-2-0-ECP5U-25-Pino'!I:I,'FPGA-SC-02033-2-0-ECP5U-25-Pino'!C:C,"")</f>
        <v/>
      </c>
      <c r="D21">
        <f t="shared" si="0"/>
        <v>0</v>
      </c>
      <c r="E21">
        <f t="shared" si="1"/>
        <v>0</v>
      </c>
      <c r="F21" t="str">
        <f>_xlfn.XLOOKUP(G21,'FPGA-SC-02033-2-0-ECP5U-25-Pino'!I:I,'FPGA-SC-02033-2-0-ECP5U-25-Pino'!C:C,"")</f>
        <v/>
      </c>
      <c r="G21">
        <v>40</v>
      </c>
      <c r="H21" t="s">
        <v>4</v>
      </c>
      <c r="I21">
        <f t="shared" si="2"/>
        <v>0</v>
      </c>
    </row>
    <row r="22" spans="1:11" x14ac:dyDescent="0.25">
      <c r="I22">
        <f t="shared" si="2"/>
        <v>0</v>
      </c>
    </row>
    <row r="23" spans="1:11" x14ac:dyDescent="0.25">
      <c r="I23">
        <f t="shared" si="2"/>
        <v>0</v>
      </c>
    </row>
    <row r="24" spans="1:11" x14ac:dyDescent="0.25">
      <c r="A24" t="s">
        <v>298</v>
      </c>
      <c r="B24">
        <v>41</v>
      </c>
      <c r="C24">
        <f>_xlfn.XLOOKUP(B24,'FPGA-SC-02033-2-0-ECP5U-25-Pino'!I:I,'FPGA-SC-02033-2-0-ECP5U-25-Pino'!C:C,"")</f>
        <v>3</v>
      </c>
      <c r="D24">
        <f t="shared" ref="D24:D87" si="3">COUNTIF(K:K,A24)</f>
        <v>0</v>
      </c>
      <c r="E24">
        <f t="shared" ref="E24:E87" si="4">COUNTIF(K:K,H24)</f>
        <v>0</v>
      </c>
      <c r="F24">
        <f>_xlfn.XLOOKUP(G24,'FPGA-SC-02033-2-0-ECP5U-25-Pino'!I:I,'FPGA-SC-02033-2-0-ECP5U-25-Pino'!C:C,"")</f>
        <v>8</v>
      </c>
      <c r="G24">
        <v>42</v>
      </c>
      <c r="H24" t="s">
        <v>33</v>
      </c>
      <c r="I24">
        <f t="shared" si="2"/>
        <v>0</v>
      </c>
    </row>
    <row r="25" spans="1:11" x14ac:dyDescent="0.25">
      <c r="A25" t="s">
        <v>12</v>
      </c>
      <c r="B25">
        <v>43</v>
      </c>
      <c r="C25" t="str">
        <f>_xlfn.XLOOKUP(B25,'FPGA-SC-02033-2-0-ECP5U-25-Pino'!I:I,'FPGA-SC-02033-2-0-ECP5U-25-Pino'!C:C,"")</f>
        <v/>
      </c>
      <c r="D25">
        <f t="shared" si="3"/>
        <v>0</v>
      </c>
      <c r="E25">
        <f t="shared" si="4"/>
        <v>0</v>
      </c>
      <c r="F25">
        <f>_xlfn.XLOOKUP(G25,'FPGA-SC-02033-2-0-ECP5U-25-Pino'!I:I,'FPGA-SC-02033-2-0-ECP5U-25-Pino'!C:C,"")</f>
        <v>8</v>
      </c>
      <c r="G25">
        <v>44</v>
      </c>
      <c r="H25" t="s">
        <v>34</v>
      </c>
      <c r="I25">
        <f t="shared" si="2"/>
        <v>0</v>
      </c>
    </row>
    <row r="26" spans="1:11" x14ac:dyDescent="0.25">
      <c r="A26" t="s">
        <v>12</v>
      </c>
      <c r="B26">
        <v>45</v>
      </c>
      <c r="C26" t="str">
        <f>_xlfn.XLOOKUP(B26,'FPGA-SC-02033-2-0-ECP5U-25-Pino'!I:I,'FPGA-SC-02033-2-0-ECP5U-25-Pino'!C:C,"")</f>
        <v/>
      </c>
      <c r="D26">
        <f t="shared" si="3"/>
        <v>0</v>
      </c>
      <c r="E26">
        <f t="shared" si="4"/>
        <v>0</v>
      </c>
      <c r="F26">
        <f>_xlfn.XLOOKUP(G26,'FPGA-SC-02033-2-0-ECP5U-25-Pino'!I:I,'FPGA-SC-02033-2-0-ECP5U-25-Pino'!C:C,"")</f>
        <v>8</v>
      </c>
      <c r="G26">
        <v>46</v>
      </c>
      <c r="H26" t="s">
        <v>35</v>
      </c>
      <c r="I26">
        <f t="shared" si="2"/>
        <v>0</v>
      </c>
    </row>
    <row r="27" spans="1:11" x14ac:dyDescent="0.25">
      <c r="A27" t="s">
        <v>12</v>
      </c>
      <c r="B27">
        <v>47</v>
      </c>
      <c r="C27" t="str">
        <f>_xlfn.XLOOKUP(B27,'FPGA-SC-02033-2-0-ECP5U-25-Pino'!I:I,'FPGA-SC-02033-2-0-ECP5U-25-Pino'!C:C,"")</f>
        <v/>
      </c>
      <c r="D27">
        <f t="shared" si="3"/>
        <v>0</v>
      </c>
      <c r="E27">
        <f t="shared" si="4"/>
        <v>0</v>
      </c>
      <c r="F27">
        <f>_xlfn.XLOOKUP(G27,'FPGA-SC-02033-2-0-ECP5U-25-Pino'!I:I,'FPGA-SC-02033-2-0-ECP5U-25-Pino'!C:C,"")</f>
        <v>8</v>
      </c>
      <c r="G27">
        <v>48</v>
      </c>
      <c r="H27" t="s">
        <v>36</v>
      </c>
      <c r="I27">
        <f t="shared" si="2"/>
        <v>0</v>
      </c>
    </row>
    <row r="28" spans="1:11" x14ac:dyDescent="0.25">
      <c r="A28" t="s">
        <v>37</v>
      </c>
      <c r="B28">
        <v>49</v>
      </c>
      <c r="C28">
        <f>_xlfn.XLOOKUP(B28,'FPGA-SC-02033-2-0-ECP5U-25-Pino'!I:I,'FPGA-SC-02033-2-0-ECP5U-25-Pino'!C:C,"")</f>
        <v>2</v>
      </c>
      <c r="D28">
        <f t="shared" si="3"/>
        <v>0</v>
      </c>
      <c r="E28">
        <f t="shared" si="4"/>
        <v>0</v>
      </c>
      <c r="F28">
        <f>_xlfn.XLOOKUP(G28,'FPGA-SC-02033-2-0-ECP5U-25-Pino'!I:I,'FPGA-SC-02033-2-0-ECP5U-25-Pino'!C:C,"")</f>
        <v>8</v>
      </c>
      <c r="G28">
        <v>50</v>
      </c>
      <c r="H28" t="s">
        <v>38</v>
      </c>
      <c r="I28">
        <f t="shared" si="2"/>
        <v>0</v>
      </c>
    </row>
    <row r="29" spans="1:11" x14ac:dyDescent="0.25">
      <c r="A29" t="s">
        <v>39</v>
      </c>
      <c r="B29">
        <v>51</v>
      </c>
      <c r="C29">
        <f>_xlfn.XLOOKUP(B29,'FPGA-SC-02033-2-0-ECP5U-25-Pino'!I:I,'FPGA-SC-02033-2-0-ECP5U-25-Pino'!C:C,"")</f>
        <v>2</v>
      </c>
      <c r="D29">
        <f t="shared" si="3"/>
        <v>0</v>
      </c>
      <c r="E29">
        <f t="shared" si="4"/>
        <v>0</v>
      </c>
      <c r="F29">
        <f>_xlfn.XLOOKUP(G29,'FPGA-SC-02033-2-0-ECP5U-25-Pino'!I:I,'FPGA-SC-02033-2-0-ECP5U-25-Pino'!C:C,"")</f>
        <v>8</v>
      </c>
      <c r="G29">
        <v>52</v>
      </c>
      <c r="H29" t="s">
        <v>40</v>
      </c>
      <c r="I29">
        <f t="shared" si="2"/>
        <v>0</v>
      </c>
    </row>
    <row r="30" spans="1:11" x14ac:dyDescent="0.25">
      <c r="A30" t="s">
        <v>12</v>
      </c>
      <c r="B30">
        <v>53</v>
      </c>
      <c r="C30" t="str">
        <f>_xlfn.XLOOKUP(B30,'FPGA-SC-02033-2-0-ECP5U-25-Pino'!I:I,'FPGA-SC-02033-2-0-ECP5U-25-Pino'!C:C,"")</f>
        <v/>
      </c>
      <c r="D30">
        <f t="shared" si="3"/>
        <v>0</v>
      </c>
      <c r="E30">
        <f t="shared" si="4"/>
        <v>0</v>
      </c>
      <c r="F30">
        <f>_xlfn.XLOOKUP(G30,'FPGA-SC-02033-2-0-ECP5U-25-Pino'!I:I,'FPGA-SC-02033-2-0-ECP5U-25-Pino'!C:C,"")</f>
        <v>6</v>
      </c>
      <c r="G30">
        <v>54</v>
      </c>
      <c r="H30" t="s">
        <v>41</v>
      </c>
      <c r="I30">
        <f t="shared" si="2"/>
        <v>0</v>
      </c>
    </row>
    <row r="31" spans="1:11" x14ac:dyDescent="0.25">
      <c r="A31" t="s">
        <v>4</v>
      </c>
      <c r="B31">
        <v>55</v>
      </c>
      <c r="C31" t="str">
        <f>_xlfn.XLOOKUP(B31,'FPGA-SC-02033-2-0-ECP5U-25-Pino'!I:I,'FPGA-SC-02033-2-0-ECP5U-25-Pino'!C:C,"")</f>
        <v/>
      </c>
      <c r="D31">
        <f t="shared" si="3"/>
        <v>0</v>
      </c>
      <c r="E31">
        <f t="shared" si="4"/>
        <v>0</v>
      </c>
      <c r="F31" t="str">
        <f>_xlfn.XLOOKUP(G31,'FPGA-SC-02033-2-0-ECP5U-25-Pino'!I:I,'FPGA-SC-02033-2-0-ECP5U-25-Pino'!C:C,"")</f>
        <v/>
      </c>
      <c r="G31">
        <v>56</v>
      </c>
      <c r="H31" t="s">
        <v>4</v>
      </c>
      <c r="I31">
        <f t="shared" si="2"/>
        <v>0</v>
      </c>
    </row>
    <row r="32" spans="1:11" x14ac:dyDescent="0.25">
      <c r="A32" t="s">
        <v>42</v>
      </c>
      <c r="B32">
        <v>57</v>
      </c>
      <c r="C32">
        <f>_xlfn.XLOOKUP(B32,'FPGA-SC-02033-2-0-ECP5U-25-Pino'!I:I,'FPGA-SC-02033-2-0-ECP5U-25-Pino'!C:C,"")</f>
        <v>3</v>
      </c>
      <c r="D32">
        <f t="shared" si="3"/>
        <v>0</v>
      </c>
      <c r="E32">
        <f t="shared" si="4"/>
        <v>0</v>
      </c>
      <c r="F32">
        <f>_xlfn.XLOOKUP(G32,'FPGA-SC-02033-2-0-ECP5U-25-Pino'!I:I,'FPGA-SC-02033-2-0-ECP5U-25-Pino'!C:C,"")</f>
        <v>6</v>
      </c>
      <c r="G32">
        <v>58</v>
      </c>
      <c r="H32" t="s">
        <v>43</v>
      </c>
      <c r="I32">
        <f t="shared" si="2"/>
        <v>0</v>
      </c>
    </row>
    <row r="33" spans="1:9" x14ac:dyDescent="0.25">
      <c r="A33" t="s">
        <v>44</v>
      </c>
      <c r="B33">
        <v>59</v>
      </c>
      <c r="C33">
        <f>_xlfn.XLOOKUP(B33,'FPGA-SC-02033-2-0-ECP5U-25-Pino'!I:I,'FPGA-SC-02033-2-0-ECP5U-25-Pino'!C:C,"")</f>
        <v>3</v>
      </c>
      <c r="D33">
        <f t="shared" si="3"/>
        <v>0</v>
      </c>
      <c r="E33">
        <f t="shared" si="4"/>
        <v>0</v>
      </c>
      <c r="F33">
        <f>_xlfn.XLOOKUP(G33,'FPGA-SC-02033-2-0-ECP5U-25-Pino'!I:I,'FPGA-SC-02033-2-0-ECP5U-25-Pino'!C:C,"")</f>
        <v>6</v>
      </c>
      <c r="G33">
        <v>60</v>
      </c>
      <c r="H33" t="s">
        <v>45</v>
      </c>
      <c r="I33">
        <f t="shared" si="2"/>
        <v>0</v>
      </c>
    </row>
    <row r="34" spans="1:9" x14ac:dyDescent="0.25">
      <c r="A34" t="s">
        <v>46</v>
      </c>
      <c r="B34">
        <v>61</v>
      </c>
      <c r="C34">
        <f>_xlfn.XLOOKUP(B34,'FPGA-SC-02033-2-0-ECP5U-25-Pino'!I:I,'FPGA-SC-02033-2-0-ECP5U-25-Pino'!C:C,"")</f>
        <v>3</v>
      </c>
      <c r="D34">
        <f t="shared" si="3"/>
        <v>0</v>
      </c>
      <c r="E34">
        <f t="shared" si="4"/>
        <v>0</v>
      </c>
      <c r="F34">
        <f>_xlfn.XLOOKUP(G34,'FPGA-SC-02033-2-0-ECP5U-25-Pino'!I:I,'FPGA-SC-02033-2-0-ECP5U-25-Pino'!C:C,"")</f>
        <v>8</v>
      </c>
      <c r="G34">
        <v>62</v>
      </c>
      <c r="H34" t="s">
        <v>47</v>
      </c>
      <c r="I34">
        <f t="shared" si="2"/>
        <v>0</v>
      </c>
    </row>
    <row r="35" spans="1:9" x14ac:dyDescent="0.25">
      <c r="A35" t="s">
        <v>48</v>
      </c>
      <c r="B35">
        <v>63</v>
      </c>
      <c r="C35">
        <f>_xlfn.XLOOKUP(B35,'FPGA-SC-02033-2-0-ECP5U-25-Pino'!I:I,'FPGA-SC-02033-2-0-ECP5U-25-Pino'!C:C,"")</f>
        <v>3</v>
      </c>
      <c r="D35">
        <f t="shared" si="3"/>
        <v>0</v>
      </c>
      <c r="E35">
        <f t="shared" si="4"/>
        <v>0</v>
      </c>
      <c r="F35">
        <f>_xlfn.XLOOKUP(G35,'FPGA-SC-02033-2-0-ECP5U-25-Pino'!I:I,'FPGA-SC-02033-2-0-ECP5U-25-Pino'!C:C,"")</f>
        <v>6</v>
      </c>
      <c r="G35">
        <v>64</v>
      </c>
      <c r="H35" t="s">
        <v>49</v>
      </c>
      <c r="I35">
        <f t="shared" si="2"/>
        <v>0</v>
      </c>
    </row>
    <row r="36" spans="1:9" x14ac:dyDescent="0.25">
      <c r="A36" t="s">
        <v>50</v>
      </c>
      <c r="B36">
        <v>65</v>
      </c>
      <c r="C36">
        <f>_xlfn.XLOOKUP(B36,'FPGA-SC-02033-2-0-ECP5U-25-Pino'!I:I,'FPGA-SC-02033-2-0-ECP5U-25-Pino'!C:C,"")</f>
        <v>3</v>
      </c>
      <c r="D36">
        <f t="shared" si="3"/>
        <v>0</v>
      </c>
      <c r="E36">
        <f t="shared" si="4"/>
        <v>0</v>
      </c>
      <c r="F36">
        <f>_xlfn.XLOOKUP(G36,'FPGA-SC-02033-2-0-ECP5U-25-Pino'!I:I,'FPGA-SC-02033-2-0-ECP5U-25-Pino'!C:C,"")</f>
        <v>8</v>
      </c>
      <c r="G36">
        <v>66</v>
      </c>
      <c r="H36" t="s">
        <v>51</v>
      </c>
      <c r="I36">
        <f t="shared" si="2"/>
        <v>0</v>
      </c>
    </row>
    <row r="37" spans="1:9" x14ac:dyDescent="0.25">
      <c r="A37" t="s">
        <v>52</v>
      </c>
      <c r="B37">
        <v>67</v>
      </c>
      <c r="C37">
        <f>_xlfn.XLOOKUP(B37,'FPGA-SC-02033-2-0-ECP5U-25-Pino'!I:I,'FPGA-SC-02033-2-0-ECP5U-25-Pino'!C:C,"")</f>
        <v>3</v>
      </c>
      <c r="D37">
        <f t="shared" si="3"/>
        <v>0</v>
      </c>
      <c r="E37">
        <f t="shared" si="4"/>
        <v>0</v>
      </c>
      <c r="F37">
        <f>_xlfn.XLOOKUP(G37,'FPGA-SC-02033-2-0-ECP5U-25-Pino'!I:I,'FPGA-SC-02033-2-0-ECP5U-25-Pino'!C:C,"")</f>
        <v>8</v>
      </c>
      <c r="G37">
        <v>68</v>
      </c>
      <c r="H37" t="s">
        <v>53</v>
      </c>
      <c r="I37">
        <f t="shared" si="2"/>
        <v>0</v>
      </c>
    </row>
    <row r="38" spans="1:9" x14ac:dyDescent="0.25">
      <c r="A38" t="s">
        <v>54</v>
      </c>
      <c r="B38">
        <v>69</v>
      </c>
      <c r="C38">
        <f>_xlfn.XLOOKUP(B38,'FPGA-SC-02033-2-0-ECP5U-25-Pino'!I:I,'FPGA-SC-02033-2-0-ECP5U-25-Pino'!C:C,"")</f>
        <v>3</v>
      </c>
      <c r="D38">
        <f t="shared" si="3"/>
        <v>0</v>
      </c>
      <c r="E38">
        <f t="shared" si="4"/>
        <v>0</v>
      </c>
      <c r="F38">
        <f>_xlfn.XLOOKUP(G38,'FPGA-SC-02033-2-0-ECP5U-25-Pino'!I:I,'FPGA-SC-02033-2-0-ECP5U-25-Pino'!C:C,"")</f>
        <v>6</v>
      </c>
      <c r="G38">
        <v>70</v>
      </c>
      <c r="H38" t="s">
        <v>55</v>
      </c>
      <c r="I38">
        <f t="shared" si="2"/>
        <v>0</v>
      </c>
    </row>
    <row r="39" spans="1:9" x14ac:dyDescent="0.25">
      <c r="A39" t="s">
        <v>56</v>
      </c>
      <c r="B39">
        <v>71</v>
      </c>
      <c r="C39">
        <f>_xlfn.XLOOKUP(B39,'FPGA-SC-02033-2-0-ECP5U-25-Pino'!I:I,'FPGA-SC-02033-2-0-ECP5U-25-Pino'!C:C,"")</f>
        <v>3</v>
      </c>
      <c r="D39">
        <f t="shared" si="3"/>
        <v>0</v>
      </c>
      <c r="E39">
        <f t="shared" si="4"/>
        <v>0</v>
      </c>
      <c r="F39">
        <f>_xlfn.XLOOKUP(G39,'FPGA-SC-02033-2-0-ECP5U-25-Pino'!I:I,'FPGA-SC-02033-2-0-ECP5U-25-Pino'!C:C,"")</f>
        <v>6</v>
      </c>
      <c r="G39">
        <v>72</v>
      </c>
      <c r="H39" t="s">
        <v>57</v>
      </c>
      <c r="I39">
        <f t="shared" si="2"/>
        <v>0</v>
      </c>
    </row>
    <row r="40" spans="1:9" x14ac:dyDescent="0.25">
      <c r="A40" t="s">
        <v>58</v>
      </c>
      <c r="B40">
        <v>73</v>
      </c>
      <c r="C40">
        <f>_xlfn.XLOOKUP(B40,'FPGA-SC-02033-2-0-ECP5U-25-Pino'!I:I,'FPGA-SC-02033-2-0-ECP5U-25-Pino'!C:C,"")</f>
        <v>3</v>
      </c>
      <c r="D40">
        <f t="shared" si="3"/>
        <v>0</v>
      </c>
      <c r="E40">
        <f t="shared" si="4"/>
        <v>0</v>
      </c>
      <c r="F40">
        <f>_xlfn.XLOOKUP(G40,'FPGA-SC-02033-2-0-ECP5U-25-Pino'!I:I,'FPGA-SC-02033-2-0-ECP5U-25-Pino'!C:C,"")</f>
        <v>6</v>
      </c>
      <c r="G40">
        <v>74</v>
      </c>
      <c r="H40" t="s">
        <v>59</v>
      </c>
      <c r="I40">
        <f t="shared" si="2"/>
        <v>0</v>
      </c>
    </row>
    <row r="41" spans="1:9" x14ac:dyDescent="0.25">
      <c r="A41" t="s">
        <v>60</v>
      </c>
      <c r="B41">
        <v>75</v>
      </c>
      <c r="C41">
        <f>_xlfn.XLOOKUP(B41,'FPGA-SC-02033-2-0-ECP5U-25-Pino'!I:I,'FPGA-SC-02033-2-0-ECP5U-25-Pino'!C:C,"")</f>
        <v>3</v>
      </c>
      <c r="D41">
        <f t="shared" si="3"/>
        <v>0</v>
      </c>
      <c r="E41">
        <f t="shared" si="4"/>
        <v>0</v>
      </c>
      <c r="F41">
        <f>_xlfn.XLOOKUP(G41,'FPGA-SC-02033-2-0-ECP5U-25-Pino'!I:I,'FPGA-SC-02033-2-0-ECP5U-25-Pino'!C:C,"")</f>
        <v>6</v>
      </c>
      <c r="G41">
        <v>76</v>
      </c>
      <c r="H41" t="s">
        <v>61</v>
      </c>
      <c r="I41">
        <f t="shared" si="2"/>
        <v>0</v>
      </c>
    </row>
    <row r="42" spans="1:9" x14ac:dyDescent="0.25">
      <c r="A42" t="s">
        <v>62</v>
      </c>
      <c r="B42">
        <v>77</v>
      </c>
      <c r="C42">
        <f>_xlfn.XLOOKUP(B42,'FPGA-SC-02033-2-0-ECP5U-25-Pino'!I:I,'FPGA-SC-02033-2-0-ECP5U-25-Pino'!C:C,"")</f>
        <v>3</v>
      </c>
      <c r="D42">
        <f t="shared" si="3"/>
        <v>0</v>
      </c>
      <c r="E42">
        <f t="shared" si="4"/>
        <v>0</v>
      </c>
      <c r="F42">
        <f>_xlfn.XLOOKUP(G42,'FPGA-SC-02033-2-0-ECP5U-25-Pino'!I:I,'FPGA-SC-02033-2-0-ECP5U-25-Pino'!C:C,"")</f>
        <v>3</v>
      </c>
      <c r="G42">
        <v>78</v>
      </c>
      <c r="H42" t="s">
        <v>63</v>
      </c>
      <c r="I42">
        <f t="shared" si="2"/>
        <v>0</v>
      </c>
    </row>
    <row r="43" spans="1:9" x14ac:dyDescent="0.25">
      <c r="A43" t="s">
        <v>64</v>
      </c>
      <c r="B43">
        <v>79</v>
      </c>
      <c r="C43">
        <f>_xlfn.XLOOKUP(B43,'FPGA-SC-02033-2-0-ECP5U-25-Pino'!I:I,'FPGA-SC-02033-2-0-ECP5U-25-Pino'!C:C,"")</f>
        <v>3</v>
      </c>
      <c r="D43">
        <f t="shared" si="3"/>
        <v>0</v>
      </c>
      <c r="E43">
        <f t="shared" si="4"/>
        <v>0</v>
      </c>
      <c r="F43">
        <f>_xlfn.XLOOKUP(G43,'FPGA-SC-02033-2-0-ECP5U-25-Pino'!I:I,'FPGA-SC-02033-2-0-ECP5U-25-Pino'!C:C,"")</f>
        <v>2</v>
      </c>
      <c r="G43">
        <v>80</v>
      </c>
      <c r="H43" t="s">
        <v>65</v>
      </c>
      <c r="I43">
        <f t="shared" si="2"/>
        <v>0</v>
      </c>
    </row>
    <row r="44" spans="1:9" x14ac:dyDescent="0.25">
      <c r="A44" t="s">
        <v>11</v>
      </c>
      <c r="B44">
        <v>81</v>
      </c>
      <c r="C44">
        <f>_xlfn.XLOOKUP(B44,'FPGA-SC-02033-2-0-ECP5U-25-Pino'!I:I,'FPGA-SC-02033-2-0-ECP5U-25-Pino'!C:C,"")</f>
        <v>3</v>
      </c>
      <c r="D44">
        <f t="shared" si="3"/>
        <v>1</v>
      </c>
      <c r="E44">
        <f t="shared" si="4"/>
        <v>1</v>
      </c>
      <c r="F44">
        <f>_xlfn.XLOOKUP(G44,'FPGA-SC-02033-2-0-ECP5U-25-Pino'!I:I,'FPGA-SC-02033-2-0-ECP5U-25-Pino'!C:C,"")</f>
        <v>2</v>
      </c>
      <c r="G44">
        <v>82</v>
      </c>
      <c r="H44" t="s">
        <v>66</v>
      </c>
      <c r="I44">
        <f t="shared" si="2"/>
        <v>2</v>
      </c>
    </row>
    <row r="45" spans="1:9" x14ac:dyDescent="0.25">
      <c r="A45" t="s">
        <v>67</v>
      </c>
      <c r="B45">
        <v>83</v>
      </c>
      <c r="C45">
        <f>_xlfn.XLOOKUP(B45,'FPGA-SC-02033-2-0-ECP5U-25-Pino'!I:I,'FPGA-SC-02033-2-0-ECP5U-25-Pino'!C:C,"")</f>
        <v>3</v>
      </c>
      <c r="D45">
        <f t="shared" si="3"/>
        <v>1</v>
      </c>
      <c r="E45">
        <f t="shared" si="4"/>
        <v>0</v>
      </c>
      <c r="F45">
        <f>_xlfn.XLOOKUP(G45,'FPGA-SC-02033-2-0-ECP5U-25-Pino'!I:I,'FPGA-SC-02033-2-0-ECP5U-25-Pino'!C:C,"")</f>
        <v>2</v>
      </c>
      <c r="G45">
        <v>84</v>
      </c>
      <c r="H45" t="s">
        <v>68</v>
      </c>
      <c r="I45">
        <f t="shared" si="2"/>
        <v>1</v>
      </c>
    </row>
    <row r="46" spans="1:9" x14ac:dyDescent="0.25">
      <c r="A46" t="s">
        <v>69</v>
      </c>
      <c r="B46">
        <v>85</v>
      </c>
      <c r="C46">
        <f>_xlfn.XLOOKUP(B46,'FPGA-SC-02033-2-0-ECP5U-25-Pino'!I:I,'FPGA-SC-02033-2-0-ECP5U-25-Pino'!C:C,"")</f>
        <v>2</v>
      </c>
      <c r="D46">
        <f t="shared" si="3"/>
        <v>1</v>
      </c>
      <c r="E46">
        <f t="shared" si="4"/>
        <v>0</v>
      </c>
      <c r="F46">
        <f>_xlfn.XLOOKUP(G46,'FPGA-SC-02033-2-0-ECP5U-25-Pino'!I:I,'FPGA-SC-02033-2-0-ECP5U-25-Pino'!C:C,"")</f>
        <v>2</v>
      </c>
      <c r="G46">
        <v>86</v>
      </c>
      <c r="H46" t="s">
        <v>70</v>
      </c>
      <c r="I46">
        <f t="shared" si="2"/>
        <v>1</v>
      </c>
    </row>
    <row r="47" spans="1:9" x14ac:dyDescent="0.25">
      <c r="A47" t="s">
        <v>13</v>
      </c>
      <c r="B47">
        <v>87</v>
      </c>
      <c r="C47">
        <f>_xlfn.XLOOKUP(B47,'FPGA-SC-02033-2-0-ECP5U-25-Pino'!I:I,'FPGA-SC-02033-2-0-ECP5U-25-Pino'!C:C,"")</f>
        <v>2</v>
      </c>
      <c r="D47">
        <f t="shared" si="3"/>
        <v>1</v>
      </c>
      <c r="E47">
        <f t="shared" si="4"/>
        <v>0</v>
      </c>
      <c r="F47">
        <f>_xlfn.XLOOKUP(G47,'FPGA-SC-02033-2-0-ECP5U-25-Pino'!I:I,'FPGA-SC-02033-2-0-ECP5U-25-Pino'!C:C,"")</f>
        <v>2</v>
      </c>
      <c r="G47">
        <v>88</v>
      </c>
      <c r="H47" t="s">
        <v>71</v>
      </c>
      <c r="I47">
        <f t="shared" si="2"/>
        <v>1</v>
      </c>
    </row>
    <row r="48" spans="1:9" x14ac:dyDescent="0.25">
      <c r="A48" t="s">
        <v>72</v>
      </c>
      <c r="B48">
        <v>89</v>
      </c>
      <c r="C48">
        <f>_xlfn.XLOOKUP(B48,'FPGA-SC-02033-2-0-ECP5U-25-Pino'!I:I,'FPGA-SC-02033-2-0-ECP5U-25-Pino'!C:C,"")</f>
        <v>2</v>
      </c>
      <c r="D48">
        <f t="shared" si="3"/>
        <v>1</v>
      </c>
      <c r="E48">
        <f t="shared" si="4"/>
        <v>0</v>
      </c>
      <c r="F48">
        <f>_xlfn.XLOOKUP(G48,'FPGA-SC-02033-2-0-ECP5U-25-Pino'!I:I,'FPGA-SC-02033-2-0-ECP5U-25-Pino'!C:C,"")</f>
        <v>2</v>
      </c>
      <c r="G48">
        <v>90</v>
      </c>
      <c r="H48" t="s">
        <v>73</v>
      </c>
      <c r="I48">
        <f t="shared" si="2"/>
        <v>1</v>
      </c>
    </row>
    <row r="49" spans="1:9" x14ac:dyDescent="0.25">
      <c r="A49" t="s">
        <v>16</v>
      </c>
      <c r="B49">
        <v>91</v>
      </c>
      <c r="C49">
        <f>_xlfn.XLOOKUP(B49,'FPGA-SC-02033-2-0-ECP5U-25-Pino'!I:I,'FPGA-SC-02033-2-0-ECP5U-25-Pino'!C:C,"")</f>
        <v>2</v>
      </c>
      <c r="D49">
        <f t="shared" si="3"/>
        <v>1</v>
      </c>
      <c r="E49">
        <f t="shared" si="4"/>
        <v>0</v>
      </c>
      <c r="F49">
        <f>_xlfn.XLOOKUP(G49,'FPGA-SC-02033-2-0-ECP5U-25-Pino'!I:I,'FPGA-SC-02033-2-0-ECP5U-25-Pino'!C:C,"")</f>
        <v>2</v>
      </c>
      <c r="G49">
        <v>92</v>
      </c>
      <c r="H49" t="s">
        <v>74</v>
      </c>
      <c r="I49">
        <f t="shared" si="2"/>
        <v>1</v>
      </c>
    </row>
    <row r="50" spans="1:9" x14ac:dyDescent="0.25">
      <c r="A50" t="s">
        <v>75</v>
      </c>
      <c r="B50">
        <v>93</v>
      </c>
      <c r="C50">
        <f>_xlfn.XLOOKUP(B50,'FPGA-SC-02033-2-0-ECP5U-25-Pino'!I:I,'FPGA-SC-02033-2-0-ECP5U-25-Pino'!C:C,"")</f>
        <v>2</v>
      </c>
      <c r="D50">
        <f t="shared" si="3"/>
        <v>0</v>
      </c>
      <c r="E50">
        <f t="shared" si="4"/>
        <v>0</v>
      </c>
      <c r="F50">
        <f>_xlfn.XLOOKUP(G50,'FPGA-SC-02033-2-0-ECP5U-25-Pino'!I:I,'FPGA-SC-02033-2-0-ECP5U-25-Pino'!C:C,"")</f>
        <v>2</v>
      </c>
      <c r="G50">
        <v>94</v>
      </c>
      <c r="H50" t="s">
        <v>76</v>
      </c>
      <c r="I50">
        <f t="shared" si="2"/>
        <v>0</v>
      </c>
    </row>
    <row r="51" spans="1:9" x14ac:dyDescent="0.25">
      <c r="A51" t="s">
        <v>77</v>
      </c>
      <c r="B51">
        <v>95</v>
      </c>
      <c r="C51">
        <f>_xlfn.XLOOKUP(B51,'FPGA-SC-02033-2-0-ECP5U-25-Pino'!I:I,'FPGA-SC-02033-2-0-ECP5U-25-Pino'!C:C,"")</f>
        <v>2</v>
      </c>
      <c r="D51">
        <f t="shared" si="3"/>
        <v>0</v>
      </c>
      <c r="E51">
        <f t="shared" si="4"/>
        <v>0</v>
      </c>
      <c r="F51">
        <f>_xlfn.XLOOKUP(G51,'FPGA-SC-02033-2-0-ECP5U-25-Pino'!I:I,'FPGA-SC-02033-2-0-ECP5U-25-Pino'!C:C,"")</f>
        <v>2</v>
      </c>
      <c r="G51">
        <v>96</v>
      </c>
      <c r="H51" t="s">
        <v>78</v>
      </c>
      <c r="I51">
        <f t="shared" si="2"/>
        <v>0</v>
      </c>
    </row>
    <row r="52" spans="1:9" x14ac:dyDescent="0.25">
      <c r="A52" t="s">
        <v>19</v>
      </c>
      <c r="B52">
        <v>97</v>
      </c>
      <c r="C52">
        <f>_xlfn.XLOOKUP(B52,'FPGA-SC-02033-2-0-ECP5U-25-Pino'!I:I,'FPGA-SC-02033-2-0-ECP5U-25-Pino'!C:C,"")</f>
        <v>2</v>
      </c>
      <c r="D52">
        <f t="shared" si="3"/>
        <v>1</v>
      </c>
      <c r="E52">
        <f t="shared" si="4"/>
        <v>0</v>
      </c>
      <c r="F52">
        <f>_xlfn.XLOOKUP(G52,'FPGA-SC-02033-2-0-ECP5U-25-Pino'!I:I,'FPGA-SC-02033-2-0-ECP5U-25-Pino'!C:C,"")</f>
        <v>2</v>
      </c>
      <c r="G52">
        <v>98</v>
      </c>
      <c r="H52" t="s">
        <v>79</v>
      </c>
      <c r="I52">
        <f t="shared" si="2"/>
        <v>1</v>
      </c>
    </row>
    <row r="53" spans="1:9" x14ac:dyDescent="0.25">
      <c r="A53" t="s">
        <v>80</v>
      </c>
      <c r="B53">
        <v>99</v>
      </c>
      <c r="C53">
        <f>_xlfn.XLOOKUP(B53,'FPGA-SC-02033-2-0-ECP5U-25-Pino'!I:I,'FPGA-SC-02033-2-0-ECP5U-25-Pino'!C:C,"")</f>
        <v>2</v>
      </c>
      <c r="D53">
        <f t="shared" si="3"/>
        <v>0</v>
      </c>
      <c r="E53">
        <f t="shared" si="4"/>
        <v>0</v>
      </c>
      <c r="F53">
        <f>_xlfn.XLOOKUP(G53,'FPGA-SC-02033-2-0-ECP5U-25-Pino'!I:I,'FPGA-SC-02033-2-0-ECP5U-25-Pino'!C:C,"")</f>
        <v>2</v>
      </c>
      <c r="G53">
        <v>100</v>
      </c>
      <c r="H53" t="s">
        <v>81</v>
      </c>
      <c r="I53">
        <f t="shared" si="2"/>
        <v>0</v>
      </c>
    </row>
    <row r="54" spans="1:9" x14ac:dyDescent="0.25">
      <c r="A54" t="s">
        <v>82</v>
      </c>
      <c r="B54">
        <v>101</v>
      </c>
      <c r="C54">
        <f>_xlfn.XLOOKUP(B54,'FPGA-SC-02033-2-0-ECP5U-25-Pino'!I:I,'FPGA-SC-02033-2-0-ECP5U-25-Pino'!C:C,"")</f>
        <v>2</v>
      </c>
      <c r="D54">
        <f t="shared" si="3"/>
        <v>0</v>
      </c>
      <c r="E54">
        <f t="shared" si="4"/>
        <v>0</v>
      </c>
      <c r="F54">
        <f>_xlfn.XLOOKUP(G54,'FPGA-SC-02033-2-0-ECP5U-25-Pino'!I:I,'FPGA-SC-02033-2-0-ECP5U-25-Pino'!C:C,"")</f>
        <v>2</v>
      </c>
      <c r="G54">
        <v>102</v>
      </c>
      <c r="H54" t="s">
        <v>83</v>
      </c>
      <c r="I54">
        <f t="shared" si="2"/>
        <v>0</v>
      </c>
    </row>
    <row r="55" spans="1:9" x14ac:dyDescent="0.25">
      <c r="A55" t="s">
        <v>84</v>
      </c>
      <c r="B55">
        <v>103</v>
      </c>
      <c r="C55">
        <f>_xlfn.XLOOKUP(B55,'FPGA-SC-02033-2-0-ECP5U-25-Pino'!I:I,'FPGA-SC-02033-2-0-ECP5U-25-Pino'!C:C,"")</f>
        <v>2</v>
      </c>
      <c r="D55">
        <f t="shared" si="3"/>
        <v>0</v>
      </c>
      <c r="E55">
        <f t="shared" si="4"/>
        <v>0</v>
      </c>
      <c r="F55">
        <f>_xlfn.XLOOKUP(G55,'FPGA-SC-02033-2-0-ECP5U-25-Pino'!I:I,'FPGA-SC-02033-2-0-ECP5U-25-Pino'!C:C,"")</f>
        <v>2</v>
      </c>
      <c r="G55">
        <v>104</v>
      </c>
      <c r="H55" t="s">
        <v>85</v>
      </c>
      <c r="I55">
        <f t="shared" si="2"/>
        <v>0</v>
      </c>
    </row>
    <row r="56" spans="1:9" x14ac:dyDescent="0.25">
      <c r="A56" t="s">
        <v>4</v>
      </c>
      <c r="B56">
        <v>105</v>
      </c>
      <c r="C56" t="str">
        <f>_xlfn.XLOOKUP(B56,'FPGA-SC-02033-2-0-ECP5U-25-Pino'!I:I,'FPGA-SC-02033-2-0-ECP5U-25-Pino'!C:C,"")</f>
        <v/>
      </c>
      <c r="D56">
        <f t="shared" si="3"/>
        <v>0</v>
      </c>
      <c r="E56">
        <f t="shared" si="4"/>
        <v>0</v>
      </c>
      <c r="F56" t="str">
        <f>_xlfn.XLOOKUP(G56,'FPGA-SC-02033-2-0-ECP5U-25-Pino'!I:I,'FPGA-SC-02033-2-0-ECP5U-25-Pino'!C:C,"")</f>
        <v/>
      </c>
      <c r="G56">
        <v>106</v>
      </c>
      <c r="H56" t="s">
        <v>4</v>
      </c>
      <c r="I56">
        <f t="shared" si="2"/>
        <v>0</v>
      </c>
    </row>
    <row r="57" spans="1:9" x14ac:dyDescent="0.25">
      <c r="A57" t="s">
        <v>4</v>
      </c>
      <c r="B57">
        <v>107</v>
      </c>
      <c r="C57" t="str">
        <f>_xlfn.XLOOKUP(B57,'FPGA-SC-02033-2-0-ECP5U-25-Pino'!I:I,'FPGA-SC-02033-2-0-ECP5U-25-Pino'!C:C,"")</f>
        <v/>
      </c>
      <c r="D57">
        <f t="shared" si="3"/>
        <v>0</v>
      </c>
      <c r="E57">
        <f t="shared" si="4"/>
        <v>0</v>
      </c>
      <c r="F57" t="str">
        <f>_xlfn.XLOOKUP(G57,'FPGA-SC-02033-2-0-ECP5U-25-Pino'!I:I,'FPGA-SC-02033-2-0-ECP5U-25-Pino'!C:C,"")</f>
        <v/>
      </c>
      <c r="G57">
        <v>108</v>
      </c>
      <c r="H57" t="s">
        <v>4</v>
      </c>
      <c r="I57">
        <f t="shared" si="2"/>
        <v>0</v>
      </c>
    </row>
    <row r="58" spans="1:9" x14ac:dyDescent="0.25">
      <c r="A58" t="s">
        <v>86</v>
      </c>
      <c r="B58">
        <v>109</v>
      </c>
      <c r="C58">
        <f>_xlfn.XLOOKUP(B58,'FPGA-SC-02033-2-0-ECP5U-25-Pino'!I:I,'FPGA-SC-02033-2-0-ECP5U-25-Pino'!C:C,"")</f>
        <v>2</v>
      </c>
      <c r="D58">
        <f t="shared" si="3"/>
        <v>0</v>
      </c>
      <c r="E58">
        <f t="shared" si="4"/>
        <v>0</v>
      </c>
      <c r="F58">
        <f>_xlfn.XLOOKUP(G58,'FPGA-SC-02033-2-0-ECP5U-25-Pino'!I:I,'FPGA-SC-02033-2-0-ECP5U-25-Pino'!C:C,"")</f>
        <v>2</v>
      </c>
      <c r="G58">
        <v>110</v>
      </c>
      <c r="H58" t="s">
        <v>87</v>
      </c>
      <c r="I58">
        <f t="shared" si="2"/>
        <v>0</v>
      </c>
    </row>
    <row r="59" spans="1:9" x14ac:dyDescent="0.25">
      <c r="A59" t="s">
        <v>88</v>
      </c>
      <c r="B59">
        <v>111</v>
      </c>
      <c r="C59">
        <f>_xlfn.XLOOKUP(B59,'FPGA-SC-02033-2-0-ECP5U-25-Pino'!I:I,'FPGA-SC-02033-2-0-ECP5U-25-Pino'!C:C,"")</f>
        <v>2</v>
      </c>
      <c r="D59">
        <f t="shared" si="3"/>
        <v>0</v>
      </c>
      <c r="E59">
        <f t="shared" si="4"/>
        <v>0</v>
      </c>
      <c r="F59">
        <f>_xlfn.XLOOKUP(G59,'FPGA-SC-02033-2-0-ECP5U-25-Pino'!I:I,'FPGA-SC-02033-2-0-ECP5U-25-Pino'!C:C,"")</f>
        <v>2</v>
      </c>
      <c r="G59">
        <v>112</v>
      </c>
      <c r="H59" t="s">
        <v>89</v>
      </c>
      <c r="I59">
        <f t="shared" si="2"/>
        <v>0</v>
      </c>
    </row>
    <row r="60" spans="1:9" x14ac:dyDescent="0.25">
      <c r="A60" t="s">
        <v>90</v>
      </c>
      <c r="B60">
        <v>113</v>
      </c>
      <c r="C60">
        <f>_xlfn.XLOOKUP(B60,'FPGA-SC-02033-2-0-ECP5U-25-Pino'!I:I,'FPGA-SC-02033-2-0-ECP5U-25-Pino'!C:C,"")</f>
        <v>2</v>
      </c>
      <c r="D60">
        <f t="shared" si="3"/>
        <v>0</v>
      </c>
      <c r="E60">
        <f t="shared" si="4"/>
        <v>0</v>
      </c>
      <c r="F60">
        <f>_xlfn.XLOOKUP(G60,'FPGA-SC-02033-2-0-ECP5U-25-Pino'!I:I,'FPGA-SC-02033-2-0-ECP5U-25-Pino'!C:C,"")</f>
        <v>2</v>
      </c>
      <c r="G60">
        <v>114</v>
      </c>
      <c r="H60" t="s">
        <v>91</v>
      </c>
      <c r="I60">
        <f t="shared" si="2"/>
        <v>0</v>
      </c>
    </row>
    <row r="61" spans="1:9" x14ac:dyDescent="0.25">
      <c r="A61" t="s">
        <v>92</v>
      </c>
      <c r="B61">
        <v>115</v>
      </c>
      <c r="C61">
        <f>_xlfn.XLOOKUP(B61,'FPGA-SC-02033-2-0-ECP5U-25-Pino'!I:I,'FPGA-SC-02033-2-0-ECP5U-25-Pino'!C:C,"")</f>
        <v>2</v>
      </c>
      <c r="D61">
        <f t="shared" si="3"/>
        <v>0</v>
      </c>
      <c r="E61">
        <f t="shared" si="4"/>
        <v>0</v>
      </c>
      <c r="F61">
        <f>_xlfn.XLOOKUP(G61,'FPGA-SC-02033-2-0-ECP5U-25-Pino'!I:I,'FPGA-SC-02033-2-0-ECP5U-25-Pino'!C:C,"")</f>
        <v>7</v>
      </c>
      <c r="G61">
        <v>116</v>
      </c>
      <c r="H61" t="s">
        <v>93</v>
      </c>
      <c r="I61">
        <f t="shared" si="2"/>
        <v>0</v>
      </c>
    </row>
    <row r="62" spans="1:9" x14ac:dyDescent="0.25">
      <c r="A62" t="s">
        <v>94</v>
      </c>
      <c r="B62">
        <v>117</v>
      </c>
      <c r="C62">
        <f>_xlfn.XLOOKUP(B62,'FPGA-SC-02033-2-0-ECP5U-25-Pino'!I:I,'FPGA-SC-02033-2-0-ECP5U-25-Pino'!C:C,"")</f>
        <v>1</v>
      </c>
      <c r="D62">
        <f t="shared" si="3"/>
        <v>0</v>
      </c>
      <c r="E62">
        <f t="shared" si="4"/>
        <v>0</v>
      </c>
      <c r="F62">
        <f>_xlfn.XLOOKUP(G62,'FPGA-SC-02033-2-0-ECP5U-25-Pino'!I:I,'FPGA-SC-02033-2-0-ECP5U-25-Pino'!C:C,"")</f>
        <v>1</v>
      </c>
      <c r="G62">
        <v>118</v>
      </c>
      <c r="H62" t="s">
        <v>95</v>
      </c>
      <c r="I62">
        <f t="shared" si="2"/>
        <v>0</v>
      </c>
    </row>
    <row r="63" spans="1:9" x14ac:dyDescent="0.25">
      <c r="A63" t="s">
        <v>96</v>
      </c>
      <c r="B63">
        <v>119</v>
      </c>
      <c r="C63">
        <f>_xlfn.XLOOKUP(B63,'FPGA-SC-02033-2-0-ECP5U-25-Pino'!I:I,'FPGA-SC-02033-2-0-ECP5U-25-Pino'!C:C,"")</f>
        <v>1</v>
      </c>
      <c r="D63">
        <f t="shared" si="3"/>
        <v>0</v>
      </c>
      <c r="E63">
        <f t="shared" si="4"/>
        <v>0</v>
      </c>
      <c r="F63">
        <f>_xlfn.XLOOKUP(G63,'FPGA-SC-02033-2-0-ECP5U-25-Pino'!I:I,'FPGA-SC-02033-2-0-ECP5U-25-Pino'!C:C,"")</f>
        <v>7</v>
      </c>
      <c r="G63">
        <v>120</v>
      </c>
      <c r="H63" t="s">
        <v>97</v>
      </c>
      <c r="I63">
        <f t="shared" si="2"/>
        <v>0</v>
      </c>
    </row>
    <row r="64" spans="1:9" x14ac:dyDescent="0.25">
      <c r="A64" t="s">
        <v>98</v>
      </c>
      <c r="B64">
        <v>121</v>
      </c>
      <c r="C64">
        <f>_xlfn.XLOOKUP(B64,'FPGA-SC-02033-2-0-ECP5U-25-Pino'!I:I,'FPGA-SC-02033-2-0-ECP5U-25-Pino'!C:C,"")</f>
        <v>1</v>
      </c>
      <c r="D64">
        <f t="shared" si="3"/>
        <v>0</v>
      </c>
      <c r="E64">
        <f t="shared" si="4"/>
        <v>0</v>
      </c>
      <c r="F64">
        <f>_xlfn.XLOOKUP(G64,'FPGA-SC-02033-2-0-ECP5U-25-Pino'!I:I,'FPGA-SC-02033-2-0-ECP5U-25-Pino'!C:C,"")</f>
        <v>0</v>
      </c>
      <c r="G64">
        <v>122</v>
      </c>
      <c r="H64" t="s">
        <v>99</v>
      </c>
      <c r="I64">
        <f t="shared" si="2"/>
        <v>0</v>
      </c>
    </row>
    <row r="65" spans="1:9" x14ac:dyDescent="0.25">
      <c r="A65" t="s">
        <v>100</v>
      </c>
      <c r="B65">
        <v>123</v>
      </c>
      <c r="C65">
        <f>_xlfn.XLOOKUP(B65,'FPGA-SC-02033-2-0-ECP5U-25-Pino'!I:I,'FPGA-SC-02033-2-0-ECP5U-25-Pino'!C:C,"")</f>
        <v>1</v>
      </c>
      <c r="D65">
        <f t="shared" si="3"/>
        <v>0</v>
      </c>
      <c r="E65">
        <f t="shared" si="4"/>
        <v>0</v>
      </c>
      <c r="F65">
        <f>_xlfn.XLOOKUP(G65,'FPGA-SC-02033-2-0-ECP5U-25-Pino'!I:I,'FPGA-SC-02033-2-0-ECP5U-25-Pino'!C:C,"")</f>
        <v>7</v>
      </c>
      <c r="G65">
        <v>124</v>
      </c>
      <c r="H65" t="s">
        <v>101</v>
      </c>
      <c r="I65">
        <f t="shared" si="2"/>
        <v>0</v>
      </c>
    </row>
    <row r="66" spans="1:9" x14ac:dyDescent="0.25">
      <c r="A66" t="s">
        <v>102</v>
      </c>
      <c r="B66">
        <v>125</v>
      </c>
      <c r="C66">
        <f>_xlfn.XLOOKUP(B66,'FPGA-SC-02033-2-0-ECP5U-25-Pino'!I:I,'FPGA-SC-02033-2-0-ECP5U-25-Pino'!C:C,"")</f>
        <v>1</v>
      </c>
      <c r="D66">
        <f t="shared" si="3"/>
        <v>0</v>
      </c>
      <c r="E66">
        <f t="shared" si="4"/>
        <v>0</v>
      </c>
      <c r="F66">
        <f>_xlfn.XLOOKUP(G66,'FPGA-SC-02033-2-0-ECP5U-25-Pino'!I:I,'FPGA-SC-02033-2-0-ECP5U-25-Pino'!C:C,"")</f>
        <v>7</v>
      </c>
      <c r="G66">
        <v>126</v>
      </c>
      <c r="H66" t="s">
        <v>103</v>
      </c>
      <c r="I66">
        <f t="shared" si="2"/>
        <v>0</v>
      </c>
    </row>
    <row r="67" spans="1:9" x14ac:dyDescent="0.25">
      <c r="A67" t="s">
        <v>104</v>
      </c>
      <c r="B67">
        <v>127</v>
      </c>
      <c r="C67">
        <f>_xlfn.XLOOKUP(B67,'FPGA-SC-02033-2-0-ECP5U-25-Pino'!I:I,'FPGA-SC-02033-2-0-ECP5U-25-Pino'!C:C,"")</f>
        <v>1</v>
      </c>
      <c r="D67">
        <f t="shared" si="3"/>
        <v>0</v>
      </c>
      <c r="E67">
        <f t="shared" si="4"/>
        <v>0</v>
      </c>
      <c r="F67">
        <f>_xlfn.XLOOKUP(G67,'FPGA-SC-02033-2-0-ECP5U-25-Pino'!I:I,'FPGA-SC-02033-2-0-ECP5U-25-Pino'!C:C,"")</f>
        <v>7</v>
      </c>
      <c r="G67">
        <v>128</v>
      </c>
      <c r="H67" t="s">
        <v>105</v>
      </c>
      <c r="I67">
        <f t="shared" ref="I67:I103" si="5">D67+E67</f>
        <v>0</v>
      </c>
    </row>
    <row r="68" spans="1:9" x14ac:dyDescent="0.25">
      <c r="A68" t="s">
        <v>106</v>
      </c>
      <c r="B68">
        <v>129</v>
      </c>
      <c r="C68">
        <f>_xlfn.XLOOKUP(B68,'FPGA-SC-02033-2-0-ECP5U-25-Pino'!I:I,'FPGA-SC-02033-2-0-ECP5U-25-Pino'!C:C,"")</f>
        <v>7</v>
      </c>
      <c r="D68">
        <f t="shared" si="3"/>
        <v>0</v>
      </c>
      <c r="E68">
        <f t="shared" si="4"/>
        <v>1</v>
      </c>
      <c r="F68">
        <f>_xlfn.XLOOKUP(G68,'FPGA-SC-02033-2-0-ECP5U-25-Pino'!I:I,'FPGA-SC-02033-2-0-ECP5U-25-Pino'!C:C,"")</f>
        <v>6</v>
      </c>
      <c r="G68">
        <v>130</v>
      </c>
      <c r="H68" t="s">
        <v>9</v>
      </c>
      <c r="I68">
        <f t="shared" si="5"/>
        <v>1</v>
      </c>
    </row>
    <row r="69" spans="1:9" x14ac:dyDescent="0.25">
      <c r="A69" t="s">
        <v>107</v>
      </c>
      <c r="B69">
        <v>131</v>
      </c>
      <c r="C69">
        <f>_xlfn.XLOOKUP(B69,'FPGA-SC-02033-2-0-ECP5U-25-Pino'!I:I,'FPGA-SC-02033-2-0-ECP5U-25-Pino'!C:C,"")</f>
        <v>7</v>
      </c>
      <c r="D69">
        <f t="shared" si="3"/>
        <v>0</v>
      </c>
      <c r="E69">
        <f t="shared" si="4"/>
        <v>1</v>
      </c>
      <c r="F69">
        <f>_xlfn.XLOOKUP(G69,'FPGA-SC-02033-2-0-ECP5U-25-Pino'!I:I,'FPGA-SC-02033-2-0-ECP5U-25-Pino'!C:C,"")</f>
        <v>7</v>
      </c>
      <c r="G69">
        <v>132</v>
      </c>
      <c r="H69" t="s">
        <v>8</v>
      </c>
      <c r="I69">
        <f t="shared" si="5"/>
        <v>1</v>
      </c>
    </row>
    <row r="70" spans="1:9" x14ac:dyDescent="0.25">
      <c r="A70" t="s">
        <v>108</v>
      </c>
      <c r="B70">
        <v>133</v>
      </c>
      <c r="C70">
        <f>_xlfn.XLOOKUP(B70,'FPGA-SC-02033-2-0-ECP5U-25-Pino'!I:I,'FPGA-SC-02033-2-0-ECP5U-25-Pino'!C:C,"")</f>
        <v>7</v>
      </c>
      <c r="D70">
        <f t="shared" si="3"/>
        <v>0</v>
      </c>
      <c r="E70">
        <f t="shared" si="4"/>
        <v>1</v>
      </c>
      <c r="F70">
        <f>_xlfn.XLOOKUP(G70,'FPGA-SC-02033-2-0-ECP5U-25-Pino'!I:I,'FPGA-SC-02033-2-0-ECP5U-25-Pino'!C:C,"")</f>
        <v>7</v>
      </c>
      <c r="G70">
        <v>134</v>
      </c>
      <c r="H70" t="s">
        <v>7</v>
      </c>
      <c r="I70">
        <f t="shared" si="5"/>
        <v>1</v>
      </c>
    </row>
    <row r="71" spans="1:9" x14ac:dyDescent="0.25">
      <c r="A71" t="s">
        <v>109</v>
      </c>
      <c r="B71">
        <v>135</v>
      </c>
      <c r="C71">
        <f>_xlfn.XLOOKUP(B71,'FPGA-SC-02033-2-0-ECP5U-25-Pino'!I:I,'FPGA-SC-02033-2-0-ECP5U-25-Pino'!C:C,"")</f>
        <v>7</v>
      </c>
      <c r="D71">
        <f t="shared" si="3"/>
        <v>0</v>
      </c>
      <c r="E71">
        <f t="shared" si="4"/>
        <v>0</v>
      </c>
      <c r="F71">
        <f>_xlfn.XLOOKUP(G71,'FPGA-SC-02033-2-0-ECP5U-25-Pino'!I:I,'FPGA-SC-02033-2-0-ECP5U-25-Pino'!C:C,"")</f>
        <v>7</v>
      </c>
      <c r="G71">
        <v>136</v>
      </c>
      <c r="H71" t="s">
        <v>110</v>
      </c>
      <c r="I71">
        <f t="shared" si="5"/>
        <v>0</v>
      </c>
    </row>
    <row r="72" spans="1:9" x14ac:dyDescent="0.25">
      <c r="A72" t="s">
        <v>111</v>
      </c>
      <c r="B72">
        <v>137</v>
      </c>
      <c r="C72">
        <f>_xlfn.XLOOKUP(B72,'FPGA-SC-02033-2-0-ECP5U-25-Pino'!I:I,'FPGA-SC-02033-2-0-ECP5U-25-Pino'!C:C,"")</f>
        <v>7</v>
      </c>
      <c r="D72">
        <f t="shared" si="3"/>
        <v>0</v>
      </c>
      <c r="E72">
        <f t="shared" si="4"/>
        <v>1</v>
      </c>
      <c r="F72">
        <f>_xlfn.XLOOKUP(G72,'FPGA-SC-02033-2-0-ECP5U-25-Pino'!I:I,'FPGA-SC-02033-2-0-ECP5U-25-Pino'!C:C,"")</f>
        <v>7</v>
      </c>
      <c r="G72">
        <v>138</v>
      </c>
      <c r="H72" t="s">
        <v>6</v>
      </c>
      <c r="I72">
        <f t="shared" si="5"/>
        <v>1</v>
      </c>
    </row>
    <row r="73" spans="1:9" x14ac:dyDescent="0.25">
      <c r="A73" t="s">
        <v>112</v>
      </c>
      <c r="B73">
        <v>139</v>
      </c>
      <c r="C73">
        <f>_xlfn.XLOOKUP(B73,'FPGA-SC-02033-2-0-ECP5U-25-Pino'!I:I,'FPGA-SC-02033-2-0-ECP5U-25-Pino'!C:C,"")</f>
        <v>7</v>
      </c>
      <c r="D73">
        <f t="shared" si="3"/>
        <v>0</v>
      </c>
      <c r="E73">
        <f t="shared" si="4"/>
        <v>1</v>
      </c>
      <c r="F73">
        <f>_xlfn.XLOOKUP(G73,'FPGA-SC-02033-2-0-ECP5U-25-Pino'!I:I,'FPGA-SC-02033-2-0-ECP5U-25-Pino'!C:C,"")</f>
        <v>7</v>
      </c>
      <c r="G73">
        <v>140</v>
      </c>
      <c r="H73" t="s">
        <v>113</v>
      </c>
      <c r="I73">
        <f t="shared" si="5"/>
        <v>1</v>
      </c>
    </row>
    <row r="74" spans="1:9" x14ac:dyDescent="0.25">
      <c r="A74" t="s">
        <v>114</v>
      </c>
      <c r="B74">
        <v>141</v>
      </c>
      <c r="C74">
        <f>_xlfn.XLOOKUP(B74,'FPGA-SC-02033-2-0-ECP5U-25-Pino'!I:I,'FPGA-SC-02033-2-0-ECP5U-25-Pino'!C:C,"")</f>
        <v>7</v>
      </c>
      <c r="D74">
        <f t="shared" si="3"/>
        <v>0</v>
      </c>
      <c r="E74">
        <f t="shared" si="4"/>
        <v>1</v>
      </c>
      <c r="F74">
        <f>_xlfn.XLOOKUP(G74,'FPGA-SC-02033-2-0-ECP5U-25-Pino'!I:I,'FPGA-SC-02033-2-0-ECP5U-25-Pino'!C:C,"")</f>
        <v>6</v>
      </c>
      <c r="G74">
        <v>142</v>
      </c>
      <c r="H74" t="s">
        <v>10</v>
      </c>
      <c r="I74">
        <f t="shared" si="5"/>
        <v>1</v>
      </c>
    </row>
    <row r="75" spans="1:9" x14ac:dyDescent="0.25">
      <c r="A75" t="s">
        <v>115</v>
      </c>
      <c r="B75">
        <v>143</v>
      </c>
      <c r="C75">
        <f>_xlfn.XLOOKUP(B75,'FPGA-SC-02033-2-0-ECP5U-25-Pino'!I:I,'FPGA-SC-02033-2-0-ECP5U-25-Pino'!C:C,"")</f>
        <v>7</v>
      </c>
      <c r="D75">
        <f t="shared" si="3"/>
        <v>0</v>
      </c>
      <c r="E75">
        <f t="shared" si="4"/>
        <v>0</v>
      </c>
      <c r="F75">
        <f>_xlfn.XLOOKUP(G75,'FPGA-SC-02033-2-0-ECP5U-25-Pino'!I:I,'FPGA-SC-02033-2-0-ECP5U-25-Pino'!C:C,"")</f>
        <v>6</v>
      </c>
      <c r="G75">
        <v>144</v>
      </c>
      <c r="H75" t="s">
        <v>116</v>
      </c>
      <c r="I75">
        <f t="shared" si="5"/>
        <v>0</v>
      </c>
    </row>
    <row r="76" spans="1:9" x14ac:dyDescent="0.25">
      <c r="A76" t="s">
        <v>117</v>
      </c>
      <c r="B76">
        <v>145</v>
      </c>
      <c r="C76">
        <f>_xlfn.XLOOKUP(B76,'FPGA-SC-02033-2-0-ECP5U-25-Pino'!I:I,'FPGA-SC-02033-2-0-ECP5U-25-Pino'!C:C,"")</f>
        <v>7</v>
      </c>
      <c r="D76">
        <f t="shared" si="3"/>
        <v>0</v>
      </c>
      <c r="E76">
        <f t="shared" si="4"/>
        <v>0</v>
      </c>
      <c r="F76">
        <f>_xlfn.XLOOKUP(G76,'FPGA-SC-02033-2-0-ECP5U-25-Pino'!I:I,'FPGA-SC-02033-2-0-ECP5U-25-Pino'!C:C,"")</f>
        <v>6</v>
      </c>
      <c r="G76">
        <v>146</v>
      </c>
      <c r="H76" t="s">
        <v>118</v>
      </c>
      <c r="I76">
        <f t="shared" si="5"/>
        <v>0</v>
      </c>
    </row>
    <row r="77" spans="1:9" x14ac:dyDescent="0.25">
      <c r="A77" t="s">
        <v>119</v>
      </c>
      <c r="B77">
        <v>147</v>
      </c>
      <c r="C77">
        <f>_xlfn.XLOOKUP(B77,'FPGA-SC-02033-2-0-ECP5U-25-Pino'!I:I,'FPGA-SC-02033-2-0-ECP5U-25-Pino'!C:C,"")</f>
        <v>7</v>
      </c>
      <c r="D77">
        <f t="shared" si="3"/>
        <v>0</v>
      </c>
      <c r="E77">
        <f t="shared" si="4"/>
        <v>0</v>
      </c>
      <c r="F77">
        <f>_xlfn.XLOOKUP(G77,'FPGA-SC-02033-2-0-ECP5U-25-Pino'!I:I,'FPGA-SC-02033-2-0-ECP5U-25-Pino'!C:C,"")</f>
        <v>6</v>
      </c>
      <c r="G77">
        <v>148</v>
      </c>
      <c r="H77" t="s">
        <v>120</v>
      </c>
      <c r="I77">
        <f t="shared" si="5"/>
        <v>0</v>
      </c>
    </row>
    <row r="78" spans="1:9" x14ac:dyDescent="0.25">
      <c r="A78" t="s">
        <v>121</v>
      </c>
      <c r="B78">
        <v>149</v>
      </c>
      <c r="C78">
        <f>_xlfn.XLOOKUP(B78,'FPGA-SC-02033-2-0-ECP5U-25-Pino'!I:I,'FPGA-SC-02033-2-0-ECP5U-25-Pino'!C:C,"")</f>
        <v>7</v>
      </c>
      <c r="D78">
        <f t="shared" si="3"/>
        <v>0</v>
      </c>
      <c r="E78">
        <f t="shared" si="4"/>
        <v>0</v>
      </c>
      <c r="F78">
        <f>_xlfn.XLOOKUP(G78,'FPGA-SC-02033-2-0-ECP5U-25-Pino'!I:I,'FPGA-SC-02033-2-0-ECP5U-25-Pino'!C:C,"")</f>
        <v>6</v>
      </c>
      <c r="G78">
        <v>150</v>
      </c>
      <c r="H78" t="s">
        <v>122</v>
      </c>
      <c r="I78">
        <f t="shared" si="5"/>
        <v>0</v>
      </c>
    </row>
    <row r="79" spans="1:9" x14ac:dyDescent="0.25">
      <c r="A79" t="s">
        <v>123</v>
      </c>
      <c r="B79">
        <v>151</v>
      </c>
      <c r="C79">
        <f>_xlfn.XLOOKUP(B79,'FPGA-SC-02033-2-0-ECP5U-25-Pino'!I:I,'FPGA-SC-02033-2-0-ECP5U-25-Pino'!C:C,"")</f>
        <v>7</v>
      </c>
      <c r="D79">
        <f t="shared" si="3"/>
        <v>1</v>
      </c>
      <c r="E79">
        <f t="shared" si="4"/>
        <v>0</v>
      </c>
      <c r="F79">
        <f>_xlfn.XLOOKUP(G79,'FPGA-SC-02033-2-0-ECP5U-25-Pino'!I:I,'FPGA-SC-02033-2-0-ECP5U-25-Pino'!C:C,"")</f>
        <v>7</v>
      </c>
      <c r="G79">
        <v>152</v>
      </c>
      <c r="H79" t="s">
        <v>124</v>
      </c>
      <c r="I79">
        <f t="shared" si="5"/>
        <v>1</v>
      </c>
    </row>
    <row r="80" spans="1:9" x14ac:dyDescent="0.25">
      <c r="A80" t="s">
        <v>125</v>
      </c>
      <c r="B80">
        <v>153</v>
      </c>
      <c r="C80">
        <f>_xlfn.XLOOKUP(B80,'FPGA-SC-02033-2-0-ECP5U-25-Pino'!I:I,'FPGA-SC-02033-2-0-ECP5U-25-Pino'!C:C,"")</f>
        <v>7</v>
      </c>
      <c r="D80">
        <f t="shared" si="3"/>
        <v>0</v>
      </c>
      <c r="E80">
        <f t="shared" si="4"/>
        <v>0</v>
      </c>
      <c r="F80">
        <f>_xlfn.XLOOKUP(G80,'FPGA-SC-02033-2-0-ECP5U-25-Pino'!I:I,'FPGA-SC-02033-2-0-ECP5U-25-Pino'!C:C,"")</f>
        <v>7</v>
      </c>
      <c r="G80">
        <v>154</v>
      </c>
      <c r="H80" t="s">
        <v>126</v>
      </c>
      <c r="I80">
        <f t="shared" si="5"/>
        <v>0</v>
      </c>
    </row>
    <row r="81" spans="1:9" x14ac:dyDescent="0.25">
      <c r="A81" t="s">
        <v>127</v>
      </c>
      <c r="B81">
        <v>155</v>
      </c>
      <c r="C81">
        <f>_xlfn.XLOOKUP(B81,'FPGA-SC-02033-2-0-ECP5U-25-Pino'!I:I,'FPGA-SC-02033-2-0-ECP5U-25-Pino'!C:C,"")</f>
        <v>7</v>
      </c>
      <c r="D81">
        <f t="shared" si="3"/>
        <v>1</v>
      </c>
      <c r="E81">
        <f t="shared" si="4"/>
        <v>0</v>
      </c>
      <c r="F81">
        <f>_xlfn.XLOOKUP(G81,'FPGA-SC-02033-2-0-ECP5U-25-Pino'!I:I,'FPGA-SC-02033-2-0-ECP5U-25-Pino'!C:C,"")</f>
        <v>7</v>
      </c>
      <c r="G81">
        <v>156</v>
      </c>
      <c r="H81" t="s">
        <v>128</v>
      </c>
      <c r="I81">
        <f t="shared" si="5"/>
        <v>1</v>
      </c>
    </row>
    <row r="82" spans="1:9" x14ac:dyDescent="0.25">
      <c r="A82" t="s">
        <v>4</v>
      </c>
      <c r="B82">
        <v>157</v>
      </c>
      <c r="C82" t="str">
        <f>_xlfn.XLOOKUP(B82,'FPGA-SC-02033-2-0-ECP5U-25-Pino'!I:I,'FPGA-SC-02033-2-0-ECP5U-25-Pino'!C:C,"")</f>
        <v/>
      </c>
      <c r="D82">
        <f t="shared" si="3"/>
        <v>0</v>
      </c>
      <c r="E82">
        <f t="shared" si="4"/>
        <v>0</v>
      </c>
      <c r="F82" t="str">
        <f>_xlfn.XLOOKUP(G82,'FPGA-SC-02033-2-0-ECP5U-25-Pino'!I:I,'FPGA-SC-02033-2-0-ECP5U-25-Pino'!C:C,"")</f>
        <v/>
      </c>
      <c r="G82">
        <v>158</v>
      </c>
      <c r="H82" t="s">
        <v>4</v>
      </c>
      <c r="I82">
        <f t="shared" si="5"/>
        <v>0</v>
      </c>
    </row>
    <row r="83" spans="1:9" x14ac:dyDescent="0.25">
      <c r="A83" t="s">
        <v>12</v>
      </c>
      <c r="B83">
        <v>159</v>
      </c>
      <c r="C83" t="str">
        <f>_xlfn.XLOOKUP(B83,'FPGA-SC-02033-2-0-ECP5U-25-Pino'!I:I,'FPGA-SC-02033-2-0-ECP5U-25-Pino'!C:C,"")</f>
        <v/>
      </c>
      <c r="D83">
        <f t="shared" si="3"/>
        <v>0</v>
      </c>
      <c r="E83">
        <f t="shared" si="4"/>
        <v>0</v>
      </c>
      <c r="F83" t="str">
        <f>_xlfn.XLOOKUP(G83,'FPGA-SC-02033-2-0-ECP5U-25-Pino'!I:I,'FPGA-SC-02033-2-0-ECP5U-25-Pino'!C:C,"")</f>
        <v/>
      </c>
      <c r="G83">
        <v>160</v>
      </c>
      <c r="H83" t="s">
        <v>12</v>
      </c>
      <c r="I83">
        <f t="shared" si="5"/>
        <v>0</v>
      </c>
    </row>
    <row r="84" spans="1:9" x14ac:dyDescent="0.25">
      <c r="A84" t="s">
        <v>12</v>
      </c>
      <c r="B84">
        <v>161</v>
      </c>
      <c r="C84" t="str">
        <f>_xlfn.XLOOKUP(B84,'FPGA-SC-02033-2-0-ECP5U-25-Pino'!I:I,'FPGA-SC-02033-2-0-ECP5U-25-Pino'!C:C,"")</f>
        <v/>
      </c>
      <c r="D84">
        <f t="shared" si="3"/>
        <v>0</v>
      </c>
      <c r="E84">
        <f t="shared" si="4"/>
        <v>0</v>
      </c>
      <c r="F84" t="str">
        <f>_xlfn.XLOOKUP(G84,'FPGA-SC-02033-2-0-ECP5U-25-Pino'!I:I,'FPGA-SC-02033-2-0-ECP5U-25-Pino'!C:C,"")</f>
        <v/>
      </c>
      <c r="G84">
        <v>162</v>
      </c>
      <c r="H84" t="s">
        <v>12</v>
      </c>
      <c r="I84">
        <f t="shared" si="5"/>
        <v>0</v>
      </c>
    </row>
    <row r="85" spans="1:9" x14ac:dyDescent="0.25">
      <c r="A85" t="s">
        <v>12</v>
      </c>
      <c r="B85">
        <v>163</v>
      </c>
      <c r="C85" t="str">
        <f>_xlfn.XLOOKUP(B85,'FPGA-SC-02033-2-0-ECP5U-25-Pino'!I:I,'FPGA-SC-02033-2-0-ECP5U-25-Pino'!C:C,"")</f>
        <v/>
      </c>
      <c r="D85">
        <f t="shared" si="3"/>
        <v>0</v>
      </c>
      <c r="E85">
        <f t="shared" si="4"/>
        <v>0</v>
      </c>
      <c r="F85" t="str">
        <f>_xlfn.XLOOKUP(G85,'FPGA-SC-02033-2-0-ECP5U-25-Pino'!I:I,'FPGA-SC-02033-2-0-ECP5U-25-Pino'!C:C,"")</f>
        <v/>
      </c>
      <c r="G85">
        <v>164</v>
      </c>
      <c r="H85" t="s">
        <v>12</v>
      </c>
      <c r="I85">
        <f t="shared" si="5"/>
        <v>0</v>
      </c>
    </row>
    <row r="86" spans="1:9" x14ac:dyDescent="0.25">
      <c r="A86" t="s">
        <v>12</v>
      </c>
      <c r="B86">
        <v>165</v>
      </c>
      <c r="C86" t="str">
        <f>_xlfn.XLOOKUP(B86,'FPGA-SC-02033-2-0-ECP5U-25-Pino'!I:I,'FPGA-SC-02033-2-0-ECP5U-25-Pino'!C:C,"")</f>
        <v/>
      </c>
      <c r="D86">
        <f t="shared" si="3"/>
        <v>0</v>
      </c>
      <c r="E86">
        <f t="shared" si="4"/>
        <v>0</v>
      </c>
      <c r="F86" t="str">
        <f>_xlfn.XLOOKUP(G86,'FPGA-SC-02033-2-0-ECP5U-25-Pino'!I:I,'FPGA-SC-02033-2-0-ECP5U-25-Pino'!C:C,"")</f>
        <v/>
      </c>
      <c r="G86">
        <v>166</v>
      </c>
      <c r="H86" t="s">
        <v>12</v>
      </c>
      <c r="I86">
        <f t="shared" si="5"/>
        <v>0</v>
      </c>
    </row>
    <row r="87" spans="1:9" x14ac:dyDescent="0.25">
      <c r="A87" t="s">
        <v>12</v>
      </c>
      <c r="B87">
        <v>167</v>
      </c>
      <c r="C87" t="str">
        <f>_xlfn.XLOOKUP(B87,'FPGA-SC-02033-2-0-ECP5U-25-Pino'!I:I,'FPGA-SC-02033-2-0-ECP5U-25-Pino'!C:C,"")</f>
        <v/>
      </c>
      <c r="D87">
        <f t="shared" si="3"/>
        <v>0</v>
      </c>
      <c r="E87">
        <f t="shared" si="4"/>
        <v>0</v>
      </c>
      <c r="F87" t="str">
        <f>_xlfn.XLOOKUP(G87,'FPGA-SC-02033-2-0-ECP5U-25-Pino'!I:I,'FPGA-SC-02033-2-0-ECP5U-25-Pino'!C:C,"")</f>
        <v/>
      </c>
      <c r="G87">
        <v>168</v>
      </c>
      <c r="H87" t="s">
        <v>12</v>
      </c>
      <c r="I87">
        <f t="shared" si="5"/>
        <v>0</v>
      </c>
    </row>
    <row r="88" spans="1:9" x14ac:dyDescent="0.25">
      <c r="A88" t="s">
        <v>12</v>
      </c>
      <c r="B88">
        <v>169</v>
      </c>
      <c r="C88" t="str">
        <f>_xlfn.XLOOKUP(B88,'FPGA-SC-02033-2-0-ECP5U-25-Pino'!I:I,'FPGA-SC-02033-2-0-ECP5U-25-Pino'!C:C,"")</f>
        <v/>
      </c>
      <c r="D88">
        <f t="shared" ref="D88:D103" si="6">COUNTIF(K:K,A88)</f>
        <v>0</v>
      </c>
      <c r="E88">
        <f t="shared" ref="E88:E103" si="7">COUNTIF(K:K,H88)</f>
        <v>0</v>
      </c>
      <c r="F88" t="str">
        <f>_xlfn.XLOOKUP(G88,'FPGA-SC-02033-2-0-ECP5U-25-Pino'!I:I,'FPGA-SC-02033-2-0-ECP5U-25-Pino'!C:C,"")</f>
        <v/>
      </c>
      <c r="G88">
        <v>170</v>
      </c>
      <c r="H88" t="s">
        <v>12</v>
      </c>
      <c r="I88">
        <f t="shared" si="5"/>
        <v>0</v>
      </c>
    </row>
    <row r="89" spans="1:9" x14ac:dyDescent="0.25">
      <c r="A89" t="s">
        <v>12</v>
      </c>
      <c r="B89">
        <v>171</v>
      </c>
      <c r="C89" t="str">
        <f>_xlfn.XLOOKUP(B89,'FPGA-SC-02033-2-0-ECP5U-25-Pino'!I:I,'FPGA-SC-02033-2-0-ECP5U-25-Pino'!C:C,"")</f>
        <v/>
      </c>
      <c r="D89">
        <f t="shared" si="6"/>
        <v>0</v>
      </c>
      <c r="E89">
        <f t="shared" si="7"/>
        <v>0</v>
      </c>
      <c r="F89" t="str">
        <f>_xlfn.XLOOKUP(G89,'FPGA-SC-02033-2-0-ECP5U-25-Pino'!I:I,'FPGA-SC-02033-2-0-ECP5U-25-Pino'!C:C,"")</f>
        <v/>
      </c>
      <c r="G89">
        <v>172</v>
      </c>
      <c r="H89" t="s">
        <v>12</v>
      </c>
      <c r="I89">
        <f t="shared" si="5"/>
        <v>0</v>
      </c>
    </row>
    <row r="90" spans="1:9" x14ac:dyDescent="0.25">
      <c r="A90" t="s">
        <v>12</v>
      </c>
      <c r="B90">
        <v>173</v>
      </c>
      <c r="C90" t="str">
        <f>_xlfn.XLOOKUP(B90,'FPGA-SC-02033-2-0-ECP5U-25-Pino'!I:I,'FPGA-SC-02033-2-0-ECP5U-25-Pino'!C:C,"")</f>
        <v/>
      </c>
      <c r="D90">
        <f t="shared" si="6"/>
        <v>0</v>
      </c>
      <c r="E90">
        <f t="shared" si="7"/>
        <v>0</v>
      </c>
      <c r="F90" t="str">
        <f>_xlfn.XLOOKUP(G90,'FPGA-SC-02033-2-0-ECP5U-25-Pino'!I:I,'FPGA-SC-02033-2-0-ECP5U-25-Pino'!C:C,"")</f>
        <v/>
      </c>
      <c r="G90">
        <v>174</v>
      </c>
      <c r="H90" t="s">
        <v>12</v>
      </c>
      <c r="I90">
        <f t="shared" si="5"/>
        <v>0</v>
      </c>
    </row>
    <row r="91" spans="1:9" x14ac:dyDescent="0.25">
      <c r="A91" t="s">
        <v>12</v>
      </c>
      <c r="B91">
        <v>175</v>
      </c>
      <c r="C91" t="str">
        <f>_xlfn.XLOOKUP(B91,'FPGA-SC-02033-2-0-ECP5U-25-Pino'!I:I,'FPGA-SC-02033-2-0-ECP5U-25-Pino'!C:C,"")</f>
        <v/>
      </c>
      <c r="D91">
        <f t="shared" si="6"/>
        <v>0</v>
      </c>
      <c r="E91">
        <f t="shared" si="7"/>
        <v>0</v>
      </c>
      <c r="F91" t="str">
        <f>_xlfn.XLOOKUP(G91,'FPGA-SC-02033-2-0-ECP5U-25-Pino'!I:I,'FPGA-SC-02033-2-0-ECP5U-25-Pino'!C:C,"")</f>
        <v/>
      </c>
      <c r="G91">
        <v>176</v>
      </c>
      <c r="H91" t="s">
        <v>12</v>
      </c>
      <c r="I91">
        <f t="shared" si="5"/>
        <v>0</v>
      </c>
    </row>
    <row r="92" spans="1:9" x14ac:dyDescent="0.25">
      <c r="A92" t="s">
        <v>12</v>
      </c>
      <c r="B92">
        <v>177</v>
      </c>
      <c r="C92" t="str">
        <f>_xlfn.XLOOKUP(B92,'FPGA-SC-02033-2-0-ECP5U-25-Pino'!I:I,'FPGA-SC-02033-2-0-ECP5U-25-Pino'!C:C,"")</f>
        <v/>
      </c>
      <c r="D92">
        <f t="shared" si="6"/>
        <v>0</v>
      </c>
      <c r="E92">
        <f t="shared" si="7"/>
        <v>0</v>
      </c>
      <c r="F92" t="str">
        <f>_xlfn.XLOOKUP(G92,'FPGA-SC-02033-2-0-ECP5U-25-Pino'!I:I,'FPGA-SC-02033-2-0-ECP5U-25-Pino'!C:C,"")</f>
        <v/>
      </c>
      <c r="G92">
        <v>178</v>
      </c>
      <c r="H92" t="s">
        <v>12</v>
      </c>
      <c r="I92">
        <f t="shared" si="5"/>
        <v>0</v>
      </c>
    </row>
    <row r="93" spans="1:9" x14ac:dyDescent="0.25">
      <c r="A93" t="s">
        <v>12</v>
      </c>
      <c r="B93">
        <v>179</v>
      </c>
      <c r="C93" t="str">
        <f>_xlfn.XLOOKUP(B93,'FPGA-SC-02033-2-0-ECP5U-25-Pino'!I:I,'FPGA-SC-02033-2-0-ECP5U-25-Pino'!C:C,"")</f>
        <v/>
      </c>
      <c r="D93">
        <f t="shared" si="6"/>
        <v>0</v>
      </c>
      <c r="E93">
        <f t="shared" si="7"/>
        <v>0</v>
      </c>
      <c r="F93" t="str">
        <f>_xlfn.XLOOKUP(G93,'FPGA-SC-02033-2-0-ECP5U-25-Pino'!I:I,'FPGA-SC-02033-2-0-ECP5U-25-Pino'!C:C,"")</f>
        <v/>
      </c>
      <c r="G93">
        <v>180</v>
      </c>
      <c r="H93" t="s">
        <v>12</v>
      </c>
      <c r="I93">
        <f t="shared" si="5"/>
        <v>0</v>
      </c>
    </row>
    <row r="94" spans="1:9" x14ac:dyDescent="0.25">
      <c r="A94" t="s">
        <v>12</v>
      </c>
      <c r="B94">
        <v>181</v>
      </c>
      <c r="C94" t="str">
        <f>_xlfn.XLOOKUP(B94,'FPGA-SC-02033-2-0-ECP5U-25-Pino'!I:I,'FPGA-SC-02033-2-0-ECP5U-25-Pino'!C:C,"")</f>
        <v/>
      </c>
      <c r="D94">
        <f t="shared" si="6"/>
        <v>0</v>
      </c>
      <c r="E94">
        <f t="shared" si="7"/>
        <v>0</v>
      </c>
      <c r="F94" t="str">
        <f>_xlfn.XLOOKUP(G94,'FPGA-SC-02033-2-0-ECP5U-25-Pino'!I:I,'FPGA-SC-02033-2-0-ECP5U-25-Pino'!C:C,"")</f>
        <v/>
      </c>
      <c r="G94">
        <v>182</v>
      </c>
      <c r="H94" t="s">
        <v>12</v>
      </c>
      <c r="I94">
        <f t="shared" si="5"/>
        <v>0</v>
      </c>
    </row>
    <row r="95" spans="1:9" x14ac:dyDescent="0.25">
      <c r="A95" t="s">
        <v>12</v>
      </c>
      <c r="B95">
        <v>183</v>
      </c>
      <c r="C95" t="str">
        <f>_xlfn.XLOOKUP(B95,'FPGA-SC-02033-2-0-ECP5U-25-Pino'!I:I,'FPGA-SC-02033-2-0-ECP5U-25-Pino'!C:C,"")</f>
        <v/>
      </c>
      <c r="D95">
        <f t="shared" si="6"/>
        <v>0</v>
      </c>
      <c r="E95">
        <f t="shared" si="7"/>
        <v>0</v>
      </c>
      <c r="F95" t="str">
        <f>_xlfn.XLOOKUP(G95,'FPGA-SC-02033-2-0-ECP5U-25-Pino'!I:I,'FPGA-SC-02033-2-0-ECP5U-25-Pino'!C:C,"")</f>
        <v/>
      </c>
      <c r="G95">
        <v>184</v>
      </c>
      <c r="H95" t="s">
        <v>12</v>
      </c>
      <c r="I95">
        <f t="shared" si="5"/>
        <v>0</v>
      </c>
    </row>
    <row r="96" spans="1:9" x14ac:dyDescent="0.25">
      <c r="A96" t="s">
        <v>12</v>
      </c>
      <c r="B96">
        <v>185</v>
      </c>
      <c r="C96" t="str">
        <f>_xlfn.XLOOKUP(B96,'FPGA-SC-02033-2-0-ECP5U-25-Pino'!I:I,'FPGA-SC-02033-2-0-ECP5U-25-Pino'!C:C,"")</f>
        <v/>
      </c>
      <c r="D96">
        <f t="shared" si="6"/>
        <v>0</v>
      </c>
      <c r="E96">
        <f t="shared" si="7"/>
        <v>0</v>
      </c>
      <c r="F96" t="str">
        <f>_xlfn.XLOOKUP(G96,'FPGA-SC-02033-2-0-ECP5U-25-Pino'!I:I,'FPGA-SC-02033-2-0-ECP5U-25-Pino'!C:C,"")</f>
        <v/>
      </c>
      <c r="G96">
        <v>186</v>
      </c>
      <c r="H96" t="s">
        <v>12</v>
      </c>
      <c r="I96">
        <f t="shared" si="5"/>
        <v>0</v>
      </c>
    </row>
    <row r="97" spans="1:9" x14ac:dyDescent="0.25">
      <c r="A97" t="s">
        <v>12</v>
      </c>
      <c r="B97">
        <v>187</v>
      </c>
      <c r="C97" t="str">
        <f>_xlfn.XLOOKUP(B97,'FPGA-SC-02033-2-0-ECP5U-25-Pino'!I:I,'FPGA-SC-02033-2-0-ECP5U-25-Pino'!C:C,"")</f>
        <v/>
      </c>
      <c r="D97">
        <f t="shared" si="6"/>
        <v>0</v>
      </c>
      <c r="E97">
        <f t="shared" si="7"/>
        <v>0</v>
      </c>
      <c r="F97" t="str">
        <f>_xlfn.XLOOKUP(G97,'FPGA-SC-02033-2-0-ECP5U-25-Pino'!I:I,'FPGA-SC-02033-2-0-ECP5U-25-Pino'!C:C,"")</f>
        <v/>
      </c>
      <c r="G97">
        <v>188</v>
      </c>
      <c r="H97" t="s">
        <v>12</v>
      </c>
      <c r="I97">
        <f t="shared" si="5"/>
        <v>0</v>
      </c>
    </row>
    <row r="98" spans="1:9" x14ac:dyDescent="0.25">
      <c r="A98" t="s">
        <v>12</v>
      </c>
      <c r="B98">
        <v>189</v>
      </c>
      <c r="C98" t="str">
        <f>_xlfn.XLOOKUP(B98,'FPGA-SC-02033-2-0-ECP5U-25-Pino'!I:I,'FPGA-SC-02033-2-0-ECP5U-25-Pino'!C:C,"")</f>
        <v/>
      </c>
      <c r="D98">
        <f t="shared" si="6"/>
        <v>0</v>
      </c>
      <c r="E98">
        <f t="shared" si="7"/>
        <v>0</v>
      </c>
      <c r="F98" t="str">
        <f>_xlfn.XLOOKUP(G98,'FPGA-SC-02033-2-0-ECP5U-25-Pino'!I:I,'FPGA-SC-02033-2-0-ECP5U-25-Pino'!C:C,"")</f>
        <v/>
      </c>
      <c r="G98">
        <v>190</v>
      </c>
      <c r="H98" t="s">
        <v>12</v>
      </c>
      <c r="I98">
        <f t="shared" si="5"/>
        <v>0</v>
      </c>
    </row>
    <row r="99" spans="1:9" x14ac:dyDescent="0.25">
      <c r="A99" t="s">
        <v>12</v>
      </c>
      <c r="B99">
        <v>191</v>
      </c>
      <c r="C99" t="str">
        <f>_xlfn.XLOOKUP(B99,'FPGA-SC-02033-2-0-ECP5U-25-Pino'!I:I,'FPGA-SC-02033-2-0-ECP5U-25-Pino'!C:C,"")</f>
        <v/>
      </c>
      <c r="D99">
        <f t="shared" si="6"/>
        <v>0</v>
      </c>
      <c r="E99">
        <f t="shared" si="7"/>
        <v>0</v>
      </c>
      <c r="F99" t="str">
        <f>_xlfn.XLOOKUP(G99,'FPGA-SC-02033-2-0-ECP5U-25-Pino'!I:I,'FPGA-SC-02033-2-0-ECP5U-25-Pino'!C:C,"")</f>
        <v/>
      </c>
      <c r="G99">
        <v>192</v>
      </c>
      <c r="H99" t="s">
        <v>12</v>
      </c>
      <c r="I99">
        <f t="shared" si="5"/>
        <v>0</v>
      </c>
    </row>
    <row r="100" spans="1:9" x14ac:dyDescent="0.25">
      <c r="A100" t="s">
        <v>12</v>
      </c>
      <c r="B100">
        <v>193</v>
      </c>
      <c r="C100" t="str">
        <f>_xlfn.XLOOKUP(B100,'FPGA-SC-02033-2-0-ECP5U-25-Pino'!I:I,'FPGA-SC-02033-2-0-ECP5U-25-Pino'!C:C,"")</f>
        <v/>
      </c>
      <c r="D100">
        <f t="shared" si="6"/>
        <v>0</v>
      </c>
      <c r="E100">
        <f t="shared" si="7"/>
        <v>0</v>
      </c>
      <c r="F100" t="str">
        <f>_xlfn.XLOOKUP(G100,'FPGA-SC-02033-2-0-ECP5U-25-Pino'!I:I,'FPGA-SC-02033-2-0-ECP5U-25-Pino'!C:C,"")</f>
        <v/>
      </c>
      <c r="G100">
        <v>194</v>
      </c>
      <c r="H100" t="s">
        <v>12</v>
      </c>
      <c r="I100">
        <f t="shared" si="5"/>
        <v>0</v>
      </c>
    </row>
    <row r="101" spans="1:9" x14ac:dyDescent="0.25">
      <c r="A101" t="s">
        <v>12</v>
      </c>
      <c r="B101">
        <v>195</v>
      </c>
      <c r="C101" t="str">
        <f>_xlfn.XLOOKUP(B101,'FPGA-SC-02033-2-0-ECP5U-25-Pino'!I:I,'FPGA-SC-02033-2-0-ECP5U-25-Pino'!C:C,"")</f>
        <v/>
      </c>
      <c r="D101">
        <f t="shared" si="6"/>
        <v>0</v>
      </c>
      <c r="E101">
        <f t="shared" si="7"/>
        <v>0</v>
      </c>
      <c r="F101" t="str">
        <f>_xlfn.XLOOKUP(G101,'FPGA-SC-02033-2-0-ECP5U-25-Pino'!I:I,'FPGA-SC-02033-2-0-ECP5U-25-Pino'!C:C,"")</f>
        <v/>
      </c>
      <c r="G101">
        <v>196</v>
      </c>
      <c r="H101" t="s">
        <v>12</v>
      </c>
      <c r="I101">
        <f t="shared" si="5"/>
        <v>0</v>
      </c>
    </row>
    <row r="102" spans="1:9" x14ac:dyDescent="0.25">
      <c r="A102" t="s">
        <v>12</v>
      </c>
      <c r="B102">
        <v>197</v>
      </c>
      <c r="C102" t="str">
        <f>_xlfn.XLOOKUP(B102,'FPGA-SC-02033-2-0-ECP5U-25-Pino'!I:I,'FPGA-SC-02033-2-0-ECP5U-25-Pino'!C:C,"")</f>
        <v/>
      </c>
      <c r="D102">
        <f t="shared" si="6"/>
        <v>0</v>
      </c>
      <c r="E102">
        <f t="shared" si="7"/>
        <v>0</v>
      </c>
      <c r="F102" t="str">
        <f>_xlfn.XLOOKUP(G102,'FPGA-SC-02033-2-0-ECP5U-25-Pino'!I:I,'FPGA-SC-02033-2-0-ECP5U-25-Pino'!C:C,"")</f>
        <v/>
      </c>
      <c r="G102">
        <v>198</v>
      </c>
      <c r="H102" t="s">
        <v>12</v>
      </c>
      <c r="I102">
        <f t="shared" si="5"/>
        <v>0</v>
      </c>
    </row>
    <row r="103" spans="1:9" x14ac:dyDescent="0.25">
      <c r="A103" t="s">
        <v>4</v>
      </c>
      <c r="B103">
        <v>199</v>
      </c>
      <c r="C103" t="str">
        <f>_xlfn.XLOOKUP(B103,'FPGA-SC-02033-2-0-ECP5U-25-Pino'!I:I,'FPGA-SC-02033-2-0-ECP5U-25-Pino'!C:C,"")</f>
        <v/>
      </c>
      <c r="D103">
        <f t="shared" si="6"/>
        <v>0</v>
      </c>
      <c r="E103">
        <f t="shared" si="7"/>
        <v>0</v>
      </c>
      <c r="F103" t="str">
        <f>_xlfn.XLOOKUP(G103,'FPGA-SC-02033-2-0-ECP5U-25-Pino'!I:I,'FPGA-SC-02033-2-0-ECP5U-25-Pino'!C:C,"")</f>
        <v/>
      </c>
      <c r="G103">
        <v>200</v>
      </c>
      <c r="H103" t="s">
        <v>4</v>
      </c>
      <c r="I103">
        <f t="shared" si="5"/>
        <v>0</v>
      </c>
    </row>
  </sheetData>
  <autoFilter ref="A1:I103" xr:uid="{09005E7A-08C8-4DDF-A827-0815EF59A873}"/>
  <conditionalFormatting sqref="A2:A21">
    <cfRule type="expression" dxfId="13" priority="11">
      <formula>D2=1</formula>
    </cfRule>
  </conditionalFormatting>
  <conditionalFormatting sqref="A24:A103">
    <cfRule type="expression" dxfId="9" priority="24">
      <formula>D24=1</formula>
    </cfRule>
  </conditionalFormatting>
  <conditionalFormatting sqref="H2:H21">
    <cfRule type="expression" dxfId="5" priority="3">
      <formula>E2=1</formula>
    </cfRule>
  </conditionalFormatting>
  <conditionalFormatting sqref="H24:H103">
    <cfRule type="expression" dxfId="1" priority="7">
      <formula>E24=1</formula>
    </cfRule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19A4EFB6-C80A-415B-8548-3E543E29BE6A}">
            <xm:f>AND(A2&lt;&gt;'SO-DIMM-i5'!A2,D2=1)</xm:f>
            <x14:dxf>
              <fill>
                <patternFill>
                  <bgColor rgb="FF7030A0"/>
                </patternFill>
              </fill>
            </x14:dxf>
          </x14:cfRule>
          <x14:cfRule type="expression" priority="10" id="{62E7FA19-0AFA-4F33-861D-6658DE4A0EC2}">
            <xm:f>A2&lt;&gt;'SO-DIMM-i5'!A2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46C56457-DE99-4375-B405-FC84268E5774}">
            <xm:f>A2='SO-DIMM-i5'!A2</xm:f>
            <x14:dxf>
              <fill>
                <patternFill>
                  <bgColor rgb="FF92D050"/>
                </patternFill>
              </fill>
            </x14:dxf>
          </x14:cfRule>
          <xm:sqref>A2:A21</xm:sqref>
        </x14:conditionalFormatting>
        <x14:conditionalFormatting xmlns:xm="http://schemas.microsoft.com/office/excel/2006/main">
          <x14:cfRule type="expression" priority="13" id="{B0AB9F74-01EF-4C4E-A7EF-B906F08BCCD6}">
            <xm:f>AND(A24&lt;&gt;'SO-DIMM-i5'!A24,D24=1)</xm:f>
            <x14:dxf>
              <fill>
                <patternFill>
                  <bgColor rgb="FF7030A0"/>
                </patternFill>
              </fill>
            </x14:dxf>
          </x14:cfRule>
          <x14:cfRule type="expression" priority="23" id="{359B8A2C-61BC-460E-9AFC-DEF3CCF47B2F}">
            <xm:f>A24&lt;&gt;'SO-DIMM-i5'!A24</xm:f>
            <x14:dxf>
              <fill>
                <patternFill>
                  <bgColor rgb="FFFF0000"/>
                </patternFill>
              </fill>
            </x14:dxf>
          </x14:cfRule>
          <x14:cfRule type="expression" priority="26" id="{E2A42E8B-37C9-4AAA-B6E0-B06A9CFDA88F}">
            <xm:f>A24='SO-DIMM-i5'!A24</xm:f>
            <x14:dxf>
              <fill>
                <patternFill>
                  <bgColor rgb="FF92D050"/>
                </patternFill>
              </fill>
            </x14:dxf>
          </x14:cfRule>
          <xm:sqref>A24:A103</xm:sqref>
        </x14:conditionalFormatting>
        <x14:conditionalFormatting xmlns:xm="http://schemas.microsoft.com/office/excel/2006/main">
          <x14:cfRule type="expression" priority="1" id="{0CB02CF4-A9D0-40EF-873C-2F004BC86C14}">
            <xm:f>AND(H2&lt;&gt;'SO-DIMM-i5'!H2,E2=1)</xm:f>
            <x14:dxf>
              <fill>
                <patternFill>
                  <bgColor rgb="FF7030A0"/>
                </patternFill>
              </fill>
            </x14:dxf>
          </x14:cfRule>
          <x14:cfRule type="expression" priority="2" id="{CF7B1EB4-80BD-4A3B-A10B-15E4FD5B93AA}">
            <xm:f>H2&lt;&gt;'SO-DIMM-i5'!H2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C15744F5-7E70-44CE-9B0E-CF13B3D77265}">
            <xm:f>H2='SO-DIMM-i5'!H2</xm:f>
            <x14:dxf>
              <fill>
                <patternFill>
                  <bgColor rgb="FF92D050"/>
                </patternFill>
              </fill>
            </x14:dxf>
          </x14:cfRule>
          <xm:sqref>H2:H21</xm:sqref>
        </x14:conditionalFormatting>
        <x14:conditionalFormatting xmlns:xm="http://schemas.microsoft.com/office/excel/2006/main">
          <x14:cfRule type="expression" priority="5" id="{181E3FAD-5FF3-4678-8C0D-0114A1DCA9B4}">
            <xm:f>AND(H24&lt;&gt;'SO-DIMM-i5'!H24,E24=1)</xm:f>
            <x14:dxf>
              <fill>
                <patternFill>
                  <bgColor rgb="FF7030A0"/>
                </patternFill>
              </fill>
            </x14:dxf>
          </x14:cfRule>
          <x14:cfRule type="expression" priority="6" id="{56A52C23-4C14-45B2-98F4-02AA24D1A76A}">
            <xm:f>H24&lt;&gt;'SO-DIMM-i5'!H24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028EC1B8-8541-4AB9-BF66-5DEE635CFF64}">
            <xm:f>H24='SO-DIMM-i5'!H24</xm:f>
            <x14:dxf>
              <fill>
                <patternFill>
                  <bgColor rgb="FF92D050"/>
                </patternFill>
              </fill>
            </x14:dxf>
          </x14:cfRule>
          <xm:sqref>H24:H103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D154-5B10-40ED-B51C-5AEE57CE5B32}">
  <sheetPr filterMode="1"/>
  <dimension ref="A1:I854"/>
  <sheetViews>
    <sheetView workbookViewId="0">
      <selection activeCell="K29" sqref="K29"/>
    </sheetView>
  </sheetViews>
  <sheetFormatPr defaultRowHeight="15" x14ac:dyDescent="0.25"/>
  <cols>
    <col min="1" max="1" width="5.7109375" customWidth="1"/>
    <col min="2" max="2" width="18.5703125" bestFit="1" customWidth="1"/>
    <col min="3" max="3" width="7.7109375" bestFit="1" customWidth="1"/>
    <col min="4" max="4" width="26.85546875" bestFit="1" customWidth="1"/>
    <col min="5" max="5" width="15.85546875" bestFit="1" customWidth="1"/>
    <col min="6" max="6" width="13" bestFit="1" customWidth="1"/>
    <col min="7" max="7" width="9.28515625" bestFit="1" customWidth="1"/>
    <col min="8" max="8" width="12.140625" customWidth="1"/>
  </cols>
  <sheetData>
    <row r="1" spans="1:9" x14ac:dyDescent="0.25">
      <c r="A1" t="s">
        <v>919</v>
      </c>
    </row>
    <row r="2" spans="1:9" x14ac:dyDescent="0.25">
      <c r="A2" t="s">
        <v>920</v>
      </c>
    </row>
    <row r="3" spans="1:9" x14ac:dyDescent="0.25">
      <c r="A3" t="s">
        <v>921</v>
      </c>
    </row>
    <row r="4" spans="1:9" x14ac:dyDescent="0.25">
      <c r="A4" t="s">
        <v>922</v>
      </c>
    </row>
    <row r="5" spans="1:9" x14ac:dyDescent="0.25">
      <c r="A5" t="s">
        <v>923</v>
      </c>
    </row>
    <row r="9" spans="1:9" x14ac:dyDescent="0.25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134</v>
      </c>
      <c r="G9" t="s">
        <v>135</v>
      </c>
      <c r="H9" t="s">
        <v>136</v>
      </c>
      <c r="I9" t="s">
        <v>137</v>
      </c>
    </row>
    <row r="10" spans="1:9" hidden="1" x14ac:dyDescent="0.25">
      <c r="A10">
        <v>1</v>
      </c>
      <c r="B10" t="s">
        <v>12</v>
      </c>
      <c r="C10" t="s">
        <v>139</v>
      </c>
      <c r="D10" t="s">
        <v>139</v>
      </c>
      <c r="E10" t="s">
        <v>139</v>
      </c>
      <c r="F10" t="s">
        <v>139</v>
      </c>
      <c r="G10" t="s">
        <v>139</v>
      </c>
      <c r="H10" t="s">
        <v>139</v>
      </c>
    </row>
    <row r="11" spans="1:9" hidden="1" x14ac:dyDescent="0.25">
      <c r="A11">
        <v>2</v>
      </c>
      <c r="B11" t="s">
        <v>12</v>
      </c>
      <c r="C11" t="s">
        <v>139</v>
      </c>
      <c r="D11" t="s">
        <v>139</v>
      </c>
      <c r="E11" t="s">
        <v>139</v>
      </c>
      <c r="F11" t="s">
        <v>139</v>
      </c>
      <c r="G11" t="s">
        <v>139</v>
      </c>
      <c r="H11" t="s">
        <v>139</v>
      </c>
    </row>
    <row r="12" spans="1:9" hidden="1" x14ac:dyDescent="0.25">
      <c r="A12">
        <v>3</v>
      </c>
      <c r="B12" t="s">
        <v>12</v>
      </c>
      <c r="C12" t="s">
        <v>139</v>
      </c>
      <c r="D12" t="s">
        <v>139</v>
      </c>
      <c r="E12" t="s">
        <v>139</v>
      </c>
      <c r="F12" t="s">
        <v>139</v>
      </c>
      <c r="G12" t="s">
        <v>139</v>
      </c>
      <c r="H12" t="s">
        <v>139</v>
      </c>
    </row>
    <row r="13" spans="1:9" hidden="1" x14ac:dyDescent="0.25">
      <c r="A13">
        <v>4</v>
      </c>
      <c r="B13" t="s">
        <v>12</v>
      </c>
      <c r="C13" t="s">
        <v>139</v>
      </c>
      <c r="D13" t="s">
        <v>139</v>
      </c>
      <c r="E13" t="s">
        <v>139</v>
      </c>
      <c r="F13" t="s">
        <v>139</v>
      </c>
      <c r="G13" t="s">
        <v>139</v>
      </c>
      <c r="H13" t="s">
        <v>139</v>
      </c>
    </row>
    <row r="14" spans="1:9" hidden="1" x14ac:dyDescent="0.25">
      <c r="A14">
        <v>5</v>
      </c>
      <c r="B14" t="s">
        <v>12</v>
      </c>
      <c r="C14" t="s">
        <v>139</v>
      </c>
      <c r="D14" t="s">
        <v>139</v>
      </c>
      <c r="E14" t="s">
        <v>139</v>
      </c>
      <c r="F14" t="s">
        <v>139</v>
      </c>
      <c r="G14" t="s">
        <v>139</v>
      </c>
      <c r="H14" t="s">
        <v>139</v>
      </c>
    </row>
    <row r="15" spans="1:9" hidden="1" x14ac:dyDescent="0.25">
      <c r="A15">
        <v>6</v>
      </c>
      <c r="B15" t="s">
        <v>176</v>
      </c>
      <c r="C15">
        <v>7</v>
      </c>
      <c r="D15" t="s">
        <v>924</v>
      </c>
      <c r="E15" t="s">
        <v>177</v>
      </c>
      <c r="F15" t="b">
        <v>1</v>
      </c>
      <c r="G15" t="s">
        <v>925</v>
      </c>
      <c r="H15" t="s">
        <v>142</v>
      </c>
      <c r="I15" t="str">
        <f>_xlfn.XLOOKUP(H15,'SO-DIMM-i9'!A:A,'SO-DIMM-i9'!B:B,_xlfn.XLOOKUP(H15,'SO-DIMM-i9'!H:H,'SO-DIMM-i9'!G:G,""))</f>
        <v/>
      </c>
    </row>
    <row r="16" spans="1:9" hidden="1" x14ac:dyDescent="0.25">
      <c r="A16">
        <v>7</v>
      </c>
      <c r="B16" t="s">
        <v>180</v>
      </c>
      <c r="C16">
        <v>7</v>
      </c>
      <c r="D16" t="s">
        <v>926</v>
      </c>
      <c r="E16" t="s">
        <v>181</v>
      </c>
      <c r="F16" t="b">
        <v>1</v>
      </c>
      <c r="G16" t="s">
        <v>925</v>
      </c>
      <c r="H16" t="s">
        <v>145</v>
      </c>
      <c r="I16" t="str">
        <f>_xlfn.XLOOKUP(H16,'SO-DIMM-i9'!A:A,'SO-DIMM-i9'!B:B,_xlfn.XLOOKUP(H16,'SO-DIMM-i9'!H:H,'SO-DIMM-i9'!G:G,""))</f>
        <v/>
      </c>
    </row>
    <row r="17" spans="1:9" hidden="1" x14ac:dyDescent="0.25">
      <c r="A17">
        <v>8</v>
      </c>
      <c r="B17" t="s">
        <v>146</v>
      </c>
      <c r="C17" t="s">
        <v>139</v>
      </c>
      <c r="D17" t="s">
        <v>139</v>
      </c>
      <c r="E17" t="s">
        <v>139</v>
      </c>
      <c r="F17" t="s">
        <v>139</v>
      </c>
      <c r="G17" t="s">
        <v>139</v>
      </c>
      <c r="H17" t="s">
        <v>139</v>
      </c>
    </row>
    <row r="18" spans="1:9" hidden="1" x14ac:dyDescent="0.25">
      <c r="A18">
        <v>9</v>
      </c>
      <c r="B18" t="s">
        <v>178</v>
      </c>
      <c r="C18">
        <v>7</v>
      </c>
      <c r="D18" t="s">
        <v>139</v>
      </c>
      <c r="E18" t="s">
        <v>179</v>
      </c>
      <c r="F18" t="s">
        <v>139</v>
      </c>
      <c r="G18" t="s">
        <v>925</v>
      </c>
      <c r="H18" t="s">
        <v>149</v>
      </c>
      <c r="I18" t="str">
        <f>_xlfn.XLOOKUP(H18,'SO-DIMM-i9'!A:A,'SO-DIMM-i9'!B:B,_xlfn.XLOOKUP(H18,'SO-DIMM-i9'!H:H,'SO-DIMM-i9'!G:G,""))</f>
        <v/>
      </c>
    </row>
    <row r="19" spans="1:9" hidden="1" x14ac:dyDescent="0.25">
      <c r="A19">
        <v>10</v>
      </c>
      <c r="B19" t="s">
        <v>150</v>
      </c>
      <c r="C19" t="s">
        <v>139</v>
      </c>
      <c r="D19" t="s">
        <v>139</v>
      </c>
      <c r="E19" t="s">
        <v>139</v>
      </c>
      <c r="F19" t="s">
        <v>139</v>
      </c>
      <c r="G19" t="s">
        <v>139</v>
      </c>
      <c r="H19" t="s">
        <v>139</v>
      </c>
    </row>
    <row r="20" spans="1:9" hidden="1" x14ac:dyDescent="0.25">
      <c r="A20">
        <v>11</v>
      </c>
      <c r="B20" t="s">
        <v>182</v>
      </c>
      <c r="C20">
        <v>7</v>
      </c>
      <c r="D20" t="s">
        <v>139</v>
      </c>
      <c r="E20" t="s">
        <v>183</v>
      </c>
      <c r="F20" t="s">
        <v>139</v>
      </c>
      <c r="G20" t="s">
        <v>925</v>
      </c>
      <c r="H20" t="s">
        <v>153</v>
      </c>
      <c r="I20" t="str">
        <f>_xlfn.XLOOKUP(H20,'SO-DIMM-i9'!A:A,'SO-DIMM-i9'!B:B,_xlfn.XLOOKUP(H20,'SO-DIMM-i9'!H:H,'SO-DIMM-i9'!G:G,""))</f>
        <v/>
      </c>
    </row>
    <row r="21" spans="1:9" x14ac:dyDescent="0.25">
      <c r="A21">
        <v>12</v>
      </c>
      <c r="B21" t="s">
        <v>184</v>
      </c>
      <c r="C21">
        <v>7</v>
      </c>
      <c r="D21" t="s">
        <v>139</v>
      </c>
      <c r="E21" t="s">
        <v>185</v>
      </c>
      <c r="F21" t="b">
        <v>1</v>
      </c>
      <c r="G21" t="s">
        <v>925</v>
      </c>
      <c r="H21" t="s">
        <v>107</v>
      </c>
      <c r="I21">
        <f>_xlfn.XLOOKUP(H21,'SO-DIMM-i9'!A:A,'SO-DIMM-i9'!B:B,_xlfn.XLOOKUP(H21,'SO-DIMM-i9'!H:H,'SO-DIMM-i9'!G:G,""))</f>
        <v>131</v>
      </c>
    </row>
    <row r="22" spans="1:9" hidden="1" x14ac:dyDescent="0.25">
      <c r="A22">
        <v>13</v>
      </c>
      <c r="B22" t="s">
        <v>156</v>
      </c>
      <c r="C22" t="s">
        <v>139</v>
      </c>
      <c r="D22" t="s">
        <v>139</v>
      </c>
      <c r="E22" t="s">
        <v>139</v>
      </c>
      <c r="F22" t="s">
        <v>139</v>
      </c>
      <c r="G22" t="s">
        <v>139</v>
      </c>
      <c r="H22" t="s">
        <v>139</v>
      </c>
    </row>
    <row r="23" spans="1:9" x14ac:dyDescent="0.25">
      <c r="A23">
        <v>14</v>
      </c>
      <c r="B23" t="s">
        <v>187</v>
      </c>
      <c r="C23">
        <v>7</v>
      </c>
      <c r="D23" t="s">
        <v>139</v>
      </c>
      <c r="E23" t="s">
        <v>189</v>
      </c>
      <c r="F23" t="s">
        <v>139</v>
      </c>
      <c r="G23" t="s">
        <v>925</v>
      </c>
      <c r="H23" t="s">
        <v>112</v>
      </c>
      <c r="I23">
        <f>_xlfn.XLOOKUP(H23,'SO-DIMM-i9'!A:A,'SO-DIMM-i9'!B:B,_xlfn.XLOOKUP(H23,'SO-DIMM-i9'!H:H,'SO-DIMM-i9'!G:G,""))</f>
        <v>139</v>
      </c>
    </row>
    <row r="24" spans="1:9" x14ac:dyDescent="0.25">
      <c r="A24">
        <v>15</v>
      </c>
      <c r="B24" t="s">
        <v>190</v>
      </c>
      <c r="C24">
        <v>7</v>
      </c>
      <c r="D24" t="s">
        <v>139</v>
      </c>
      <c r="E24" t="s">
        <v>191</v>
      </c>
      <c r="F24" t="b">
        <v>1</v>
      </c>
      <c r="G24" t="s">
        <v>925</v>
      </c>
      <c r="H24" t="s">
        <v>108</v>
      </c>
      <c r="I24">
        <f>_xlfn.XLOOKUP(H24,'SO-DIMM-i9'!A:A,'SO-DIMM-i9'!B:B,_xlfn.XLOOKUP(H24,'SO-DIMM-i9'!H:H,'SO-DIMM-i9'!G:G,""))</f>
        <v>133</v>
      </c>
    </row>
    <row r="25" spans="1:9" hidden="1" x14ac:dyDescent="0.25">
      <c r="A25">
        <v>16</v>
      </c>
      <c r="B25" t="s">
        <v>161</v>
      </c>
      <c r="C25" t="s">
        <v>139</v>
      </c>
      <c r="D25" t="s">
        <v>139</v>
      </c>
      <c r="E25" t="s">
        <v>139</v>
      </c>
      <c r="F25" t="s">
        <v>139</v>
      </c>
      <c r="G25" t="s">
        <v>139</v>
      </c>
      <c r="H25" t="s">
        <v>139</v>
      </c>
    </row>
    <row r="26" spans="1:9" x14ac:dyDescent="0.25">
      <c r="A26">
        <v>17</v>
      </c>
      <c r="B26" t="s">
        <v>192</v>
      </c>
      <c r="C26">
        <v>7</v>
      </c>
      <c r="D26" t="s">
        <v>139</v>
      </c>
      <c r="E26" t="s">
        <v>193</v>
      </c>
      <c r="F26" t="s">
        <v>139</v>
      </c>
      <c r="G26" t="s">
        <v>925</v>
      </c>
      <c r="H26" t="s">
        <v>124</v>
      </c>
      <c r="I26">
        <f>_xlfn.XLOOKUP(H26,'SO-DIMM-i9'!A:A,'SO-DIMM-i9'!B:B,_xlfn.XLOOKUP(H26,'SO-DIMM-i9'!H:H,'SO-DIMM-i9'!G:G,""))</f>
        <v>152</v>
      </c>
    </row>
    <row r="27" spans="1:9" x14ac:dyDescent="0.25">
      <c r="A27">
        <v>18</v>
      </c>
      <c r="B27" t="s">
        <v>194</v>
      </c>
      <c r="C27">
        <v>7</v>
      </c>
      <c r="D27" t="s">
        <v>139</v>
      </c>
      <c r="E27" t="s">
        <v>195</v>
      </c>
      <c r="F27" t="b">
        <v>1</v>
      </c>
      <c r="G27" t="s">
        <v>927</v>
      </c>
      <c r="H27" t="s">
        <v>105</v>
      </c>
      <c r="I27">
        <f>_xlfn.XLOOKUP(H27,'SO-DIMM-i9'!A:A,'SO-DIMM-i9'!B:B,_xlfn.XLOOKUP(H27,'SO-DIMM-i9'!H:H,'SO-DIMM-i9'!G:G,""))</f>
        <v>128</v>
      </c>
    </row>
    <row r="28" spans="1:9" hidden="1" x14ac:dyDescent="0.25">
      <c r="A28">
        <v>19</v>
      </c>
      <c r="B28" t="s">
        <v>167</v>
      </c>
      <c r="C28" t="s">
        <v>139</v>
      </c>
      <c r="D28" t="s">
        <v>139</v>
      </c>
      <c r="E28" t="s">
        <v>139</v>
      </c>
      <c r="F28" t="s">
        <v>139</v>
      </c>
      <c r="G28" t="s">
        <v>139</v>
      </c>
      <c r="H28" t="s">
        <v>139</v>
      </c>
    </row>
    <row r="29" spans="1:9" x14ac:dyDescent="0.25">
      <c r="A29">
        <v>20</v>
      </c>
      <c r="B29" t="s">
        <v>196</v>
      </c>
      <c r="C29">
        <v>7</v>
      </c>
      <c r="D29" t="s">
        <v>139</v>
      </c>
      <c r="E29" t="s">
        <v>197</v>
      </c>
      <c r="F29" t="s">
        <v>139</v>
      </c>
      <c r="G29" t="s">
        <v>925</v>
      </c>
      <c r="H29" t="s">
        <v>109</v>
      </c>
      <c r="I29">
        <f>_xlfn.XLOOKUP(H29,'SO-DIMM-i9'!A:A,'SO-DIMM-i9'!B:B,_xlfn.XLOOKUP(H29,'SO-DIMM-i9'!H:H,'SO-DIMM-i9'!G:G,""))</f>
        <v>135</v>
      </c>
    </row>
    <row r="30" spans="1:9" hidden="1" x14ac:dyDescent="0.25">
      <c r="A30">
        <v>21</v>
      </c>
      <c r="B30" t="s">
        <v>198</v>
      </c>
      <c r="C30">
        <v>7</v>
      </c>
      <c r="D30" t="s">
        <v>139</v>
      </c>
      <c r="E30" t="s">
        <v>199</v>
      </c>
      <c r="F30" t="b">
        <v>1</v>
      </c>
      <c r="G30" t="s">
        <v>928</v>
      </c>
      <c r="H30" t="s">
        <v>173</v>
      </c>
      <c r="I30" t="str">
        <f>_xlfn.XLOOKUP(H30,'SO-DIMM-i9'!A:A,'SO-DIMM-i9'!B:B,_xlfn.XLOOKUP(H30,'SO-DIMM-i9'!H:H,'SO-DIMM-i9'!G:G,""))</f>
        <v/>
      </c>
    </row>
    <row r="31" spans="1:9" hidden="1" x14ac:dyDescent="0.25">
      <c r="A31">
        <v>22</v>
      </c>
      <c r="B31" t="s">
        <v>161</v>
      </c>
      <c r="C31" t="s">
        <v>139</v>
      </c>
      <c r="D31" t="s">
        <v>139</v>
      </c>
      <c r="E31" t="s">
        <v>139</v>
      </c>
      <c r="F31" t="s">
        <v>139</v>
      </c>
      <c r="G31" t="s">
        <v>139</v>
      </c>
      <c r="H31" t="s">
        <v>139</v>
      </c>
    </row>
    <row r="32" spans="1:9" x14ac:dyDescent="0.25">
      <c r="A32">
        <v>23</v>
      </c>
      <c r="B32" t="s">
        <v>200</v>
      </c>
      <c r="C32">
        <v>7</v>
      </c>
      <c r="D32" t="s">
        <v>139</v>
      </c>
      <c r="E32" t="s">
        <v>201</v>
      </c>
      <c r="F32" t="s">
        <v>139</v>
      </c>
      <c r="G32" t="s">
        <v>925</v>
      </c>
      <c r="H32" t="s">
        <v>106</v>
      </c>
      <c r="I32">
        <f>_xlfn.XLOOKUP(H32,'SO-DIMM-i9'!A:A,'SO-DIMM-i9'!B:B,_xlfn.XLOOKUP(H32,'SO-DIMM-i9'!H:H,'SO-DIMM-i9'!G:G,""))</f>
        <v>129</v>
      </c>
    </row>
    <row r="33" spans="1:9" x14ac:dyDescent="0.25">
      <c r="A33">
        <v>24</v>
      </c>
      <c r="B33" t="s">
        <v>202</v>
      </c>
      <c r="C33">
        <v>7</v>
      </c>
      <c r="D33" t="s">
        <v>139</v>
      </c>
      <c r="E33" t="s">
        <v>204</v>
      </c>
      <c r="F33" t="b">
        <v>1</v>
      </c>
      <c r="G33" t="s">
        <v>925</v>
      </c>
      <c r="H33" t="s">
        <v>103</v>
      </c>
      <c r="I33">
        <f>_xlfn.XLOOKUP(H33,'SO-DIMM-i9'!A:A,'SO-DIMM-i9'!B:B,_xlfn.XLOOKUP(H33,'SO-DIMM-i9'!H:H,'SO-DIMM-i9'!G:G,""))</f>
        <v>126</v>
      </c>
    </row>
    <row r="34" spans="1:9" hidden="1" x14ac:dyDescent="0.25">
      <c r="A34">
        <v>25</v>
      </c>
      <c r="B34" t="s">
        <v>146</v>
      </c>
      <c r="C34" t="s">
        <v>139</v>
      </c>
      <c r="D34" t="s">
        <v>139</v>
      </c>
      <c r="E34" t="s">
        <v>139</v>
      </c>
      <c r="F34" t="s">
        <v>139</v>
      </c>
      <c r="G34" t="s">
        <v>139</v>
      </c>
      <c r="H34" t="s">
        <v>139</v>
      </c>
    </row>
    <row r="35" spans="1:9" x14ac:dyDescent="0.25">
      <c r="A35">
        <v>26</v>
      </c>
      <c r="B35" t="s">
        <v>206</v>
      </c>
      <c r="C35">
        <v>7</v>
      </c>
      <c r="D35" t="s">
        <v>139</v>
      </c>
      <c r="E35" t="s">
        <v>208</v>
      </c>
      <c r="F35" t="s">
        <v>139</v>
      </c>
      <c r="G35" t="s">
        <v>925</v>
      </c>
      <c r="H35" t="s">
        <v>101</v>
      </c>
      <c r="I35">
        <f>_xlfn.XLOOKUP(H35,'SO-DIMM-i9'!A:A,'SO-DIMM-i9'!B:B,_xlfn.XLOOKUP(H35,'SO-DIMM-i9'!H:H,'SO-DIMM-i9'!G:G,""))</f>
        <v>124</v>
      </c>
    </row>
    <row r="36" spans="1:9" x14ac:dyDescent="0.25">
      <c r="A36">
        <v>27</v>
      </c>
      <c r="B36" t="s">
        <v>209</v>
      </c>
      <c r="C36">
        <v>7</v>
      </c>
      <c r="D36" t="s">
        <v>139</v>
      </c>
      <c r="E36" t="s">
        <v>210</v>
      </c>
      <c r="F36" t="b">
        <v>1</v>
      </c>
      <c r="G36" t="s">
        <v>925</v>
      </c>
      <c r="H36" t="s">
        <v>111</v>
      </c>
      <c r="I36">
        <f>_xlfn.XLOOKUP(H36,'SO-DIMM-i9'!A:A,'SO-DIMM-i9'!B:B,_xlfn.XLOOKUP(H36,'SO-DIMM-i9'!H:H,'SO-DIMM-i9'!G:G,""))</f>
        <v>137</v>
      </c>
    </row>
    <row r="37" spans="1:9" hidden="1" x14ac:dyDescent="0.25">
      <c r="A37">
        <v>28</v>
      </c>
      <c r="B37" t="s">
        <v>150</v>
      </c>
      <c r="C37" t="s">
        <v>139</v>
      </c>
      <c r="D37" t="s">
        <v>139</v>
      </c>
      <c r="E37" t="s">
        <v>139</v>
      </c>
      <c r="F37" t="s">
        <v>139</v>
      </c>
      <c r="G37" t="s">
        <v>139</v>
      </c>
      <c r="H37" t="s">
        <v>139</v>
      </c>
    </row>
    <row r="38" spans="1:9" x14ac:dyDescent="0.25">
      <c r="A38">
        <v>29</v>
      </c>
      <c r="B38" t="s">
        <v>212</v>
      </c>
      <c r="C38">
        <v>7</v>
      </c>
      <c r="D38" t="s">
        <v>139</v>
      </c>
      <c r="E38" t="s">
        <v>213</v>
      </c>
      <c r="F38" t="s">
        <v>139</v>
      </c>
      <c r="G38" t="s">
        <v>925</v>
      </c>
      <c r="H38" t="s">
        <v>97</v>
      </c>
      <c r="I38">
        <f>_xlfn.XLOOKUP(H38,'SO-DIMM-i9'!A:A,'SO-DIMM-i9'!B:B,_xlfn.XLOOKUP(H38,'SO-DIMM-i9'!H:H,'SO-DIMM-i9'!G:G,""))</f>
        <v>120</v>
      </c>
    </row>
    <row r="39" spans="1:9" x14ac:dyDescent="0.25">
      <c r="A39">
        <v>30</v>
      </c>
      <c r="B39" t="s">
        <v>214</v>
      </c>
      <c r="C39">
        <v>7</v>
      </c>
      <c r="D39" t="s">
        <v>139</v>
      </c>
      <c r="E39" t="s">
        <v>216</v>
      </c>
      <c r="F39" t="b">
        <v>1</v>
      </c>
      <c r="G39" t="s">
        <v>929</v>
      </c>
      <c r="H39" t="s">
        <v>126</v>
      </c>
      <c r="I39">
        <f>_xlfn.XLOOKUP(H39,'SO-DIMM-i9'!A:A,'SO-DIMM-i9'!B:B,_xlfn.XLOOKUP(H39,'SO-DIMM-i9'!H:H,'SO-DIMM-i9'!G:G,""))</f>
        <v>154</v>
      </c>
    </row>
    <row r="40" spans="1:9" hidden="1" x14ac:dyDescent="0.25">
      <c r="A40">
        <v>31</v>
      </c>
      <c r="B40" t="s">
        <v>146</v>
      </c>
      <c r="C40" t="s">
        <v>139</v>
      </c>
      <c r="D40" t="s">
        <v>139</v>
      </c>
      <c r="E40" t="s">
        <v>139</v>
      </c>
      <c r="F40" t="s">
        <v>139</v>
      </c>
      <c r="G40" t="s">
        <v>139</v>
      </c>
      <c r="H40" t="s">
        <v>139</v>
      </c>
    </row>
    <row r="41" spans="1:9" x14ac:dyDescent="0.25">
      <c r="A41">
        <v>32</v>
      </c>
      <c r="B41" t="s">
        <v>217</v>
      </c>
      <c r="C41">
        <v>7</v>
      </c>
      <c r="D41" t="s">
        <v>188</v>
      </c>
      <c r="E41" t="s">
        <v>219</v>
      </c>
      <c r="F41" t="s">
        <v>139</v>
      </c>
      <c r="G41" t="s">
        <v>929</v>
      </c>
      <c r="H41" t="s">
        <v>128</v>
      </c>
      <c r="I41">
        <f>_xlfn.XLOOKUP(H41,'SO-DIMM-i9'!A:A,'SO-DIMM-i9'!B:B,_xlfn.XLOOKUP(H41,'SO-DIMM-i9'!H:H,'SO-DIMM-i9'!G:G,""))</f>
        <v>156</v>
      </c>
    </row>
    <row r="42" spans="1:9" x14ac:dyDescent="0.25">
      <c r="A42">
        <v>33</v>
      </c>
      <c r="B42" t="s">
        <v>220</v>
      </c>
      <c r="C42">
        <v>7</v>
      </c>
      <c r="D42" t="s">
        <v>139</v>
      </c>
      <c r="E42" t="s">
        <v>222</v>
      </c>
      <c r="F42" t="b">
        <v>1</v>
      </c>
      <c r="G42" t="s">
        <v>929</v>
      </c>
      <c r="H42" t="s">
        <v>115</v>
      </c>
      <c r="I42">
        <f>_xlfn.XLOOKUP(H42,'SO-DIMM-i9'!A:A,'SO-DIMM-i9'!B:B,_xlfn.XLOOKUP(H42,'SO-DIMM-i9'!H:H,'SO-DIMM-i9'!G:G,""))</f>
        <v>143</v>
      </c>
    </row>
    <row r="43" spans="1:9" hidden="1" x14ac:dyDescent="0.25">
      <c r="A43">
        <v>34</v>
      </c>
      <c r="B43" t="s">
        <v>150</v>
      </c>
      <c r="C43" t="s">
        <v>139</v>
      </c>
      <c r="D43" t="s">
        <v>139</v>
      </c>
      <c r="E43" t="s">
        <v>139</v>
      </c>
      <c r="F43" t="s">
        <v>139</v>
      </c>
      <c r="G43" t="s">
        <v>139</v>
      </c>
      <c r="H43" t="s">
        <v>139</v>
      </c>
    </row>
    <row r="44" spans="1:9" x14ac:dyDescent="0.25">
      <c r="A44">
        <v>35</v>
      </c>
      <c r="B44" t="s">
        <v>223</v>
      </c>
      <c r="C44">
        <v>7</v>
      </c>
      <c r="D44" t="s">
        <v>139</v>
      </c>
      <c r="E44" t="s">
        <v>225</v>
      </c>
      <c r="F44" t="s">
        <v>139</v>
      </c>
      <c r="G44" t="s">
        <v>929</v>
      </c>
      <c r="H44" t="s">
        <v>114</v>
      </c>
      <c r="I44">
        <f>_xlfn.XLOOKUP(H44,'SO-DIMM-i9'!A:A,'SO-DIMM-i9'!B:B,_xlfn.XLOOKUP(H44,'SO-DIMM-i9'!H:H,'SO-DIMM-i9'!G:G,""))</f>
        <v>141</v>
      </c>
    </row>
    <row r="45" spans="1:9" x14ac:dyDescent="0.25">
      <c r="A45">
        <v>36</v>
      </c>
      <c r="B45" t="s">
        <v>226</v>
      </c>
      <c r="C45">
        <v>7</v>
      </c>
      <c r="D45" t="s">
        <v>139</v>
      </c>
      <c r="E45" t="s">
        <v>228</v>
      </c>
      <c r="F45" t="b">
        <v>1</v>
      </c>
      <c r="G45" t="s">
        <v>929</v>
      </c>
      <c r="H45" t="s">
        <v>117</v>
      </c>
      <c r="I45">
        <f>_xlfn.XLOOKUP(H45,'SO-DIMM-i9'!A:A,'SO-DIMM-i9'!B:B,_xlfn.XLOOKUP(H45,'SO-DIMM-i9'!H:H,'SO-DIMM-i9'!G:G,""))</f>
        <v>145</v>
      </c>
    </row>
    <row r="46" spans="1:9" hidden="1" x14ac:dyDescent="0.25">
      <c r="A46">
        <v>37</v>
      </c>
      <c r="B46" t="s">
        <v>156</v>
      </c>
      <c r="C46" t="s">
        <v>139</v>
      </c>
      <c r="D46" t="s">
        <v>139</v>
      </c>
      <c r="E46" t="s">
        <v>139</v>
      </c>
      <c r="F46" t="s">
        <v>139</v>
      </c>
      <c r="G46" t="s">
        <v>139</v>
      </c>
      <c r="H46" t="s">
        <v>139</v>
      </c>
    </row>
    <row r="47" spans="1:9" x14ac:dyDescent="0.25">
      <c r="A47">
        <v>38</v>
      </c>
      <c r="B47" t="s">
        <v>232</v>
      </c>
      <c r="C47">
        <v>7</v>
      </c>
      <c r="D47" t="s">
        <v>139</v>
      </c>
      <c r="E47" t="s">
        <v>234</v>
      </c>
      <c r="F47" t="s">
        <v>139</v>
      </c>
      <c r="G47" t="s">
        <v>929</v>
      </c>
      <c r="H47" t="s">
        <v>119</v>
      </c>
      <c r="I47">
        <f>_xlfn.XLOOKUP(H47,'SO-DIMM-i9'!A:A,'SO-DIMM-i9'!B:B,_xlfn.XLOOKUP(H47,'SO-DIMM-i9'!H:H,'SO-DIMM-i9'!G:G,""))</f>
        <v>147</v>
      </c>
    </row>
    <row r="48" spans="1:9" x14ac:dyDescent="0.25">
      <c r="A48">
        <v>39</v>
      </c>
      <c r="B48" t="s">
        <v>236</v>
      </c>
      <c r="C48">
        <v>7</v>
      </c>
      <c r="D48" t="s">
        <v>139</v>
      </c>
      <c r="E48" t="s">
        <v>238</v>
      </c>
      <c r="F48" t="b">
        <v>1</v>
      </c>
      <c r="G48" t="s">
        <v>929</v>
      </c>
      <c r="H48" t="s">
        <v>121</v>
      </c>
      <c r="I48">
        <f>_xlfn.XLOOKUP(H48,'SO-DIMM-i9'!A:A,'SO-DIMM-i9'!B:B,_xlfn.XLOOKUP(H48,'SO-DIMM-i9'!H:H,'SO-DIMM-i9'!G:G,""))</f>
        <v>149</v>
      </c>
    </row>
    <row r="49" spans="1:9" hidden="1" x14ac:dyDescent="0.25">
      <c r="A49">
        <v>40</v>
      </c>
      <c r="B49" t="s">
        <v>161</v>
      </c>
      <c r="C49" t="s">
        <v>139</v>
      </c>
      <c r="D49" t="s">
        <v>139</v>
      </c>
      <c r="E49" t="s">
        <v>139</v>
      </c>
      <c r="F49" t="s">
        <v>139</v>
      </c>
      <c r="G49" t="s">
        <v>139</v>
      </c>
      <c r="H49" t="s">
        <v>139</v>
      </c>
    </row>
    <row r="50" spans="1:9" x14ac:dyDescent="0.25">
      <c r="A50">
        <v>41</v>
      </c>
      <c r="B50" t="s">
        <v>240</v>
      </c>
      <c r="C50">
        <v>7</v>
      </c>
      <c r="D50" t="s">
        <v>139</v>
      </c>
      <c r="E50" t="s">
        <v>242</v>
      </c>
      <c r="F50" t="s">
        <v>139</v>
      </c>
      <c r="G50" t="s">
        <v>929</v>
      </c>
      <c r="H50" t="s">
        <v>125</v>
      </c>
      <c r="I50">
        <f>_xlfn.XLOOKUP(H50,'SO-DIMM-i9'!A:A,'SO-DIMM-i9'!B:B,_xlfn.XLOOKUP(H50,'SO-DIMM-i9'!H:H,'SO-DIMM-i9'!G:G,""))</f>
        <v>153</v>
      </c>
    </row>
    <row r="51" spans="1:9" x14ac:dyDescent="0.25">
      <c r="A51">
        <v>42</v>
      </c>
      <c r="B51" t="s">
        <v>244</v>
      </c>
      <c r="C51">
        <v>7</v>
      </c>
      <c r="D51" t="s">
        <v>203</v>
      </c>
      <c r="E51" t="s">
        <v>246</v>
      </c>
      <c r="F51" t="b">
        <v>1</v>
      </c>
      <c r="G51" t="s">
        <v>930</v>
      </c>
      <c r="H51" t="s">
        <v>6</v>
      </c>
      <c r="I51">
        <f>_xlfn.XLOOKUP(H51,'SO-DIMM-i9'!A:A,'SO-DIMM-i9'!B:B,_xlfn.XLOOKUP(H51,'SO-DIMM-i9'!H:H,'SO-DIMM-i9'!G:G,""))</f>
        <v>138</v>
      </c>
    </row>
    <row r="52" spans="1:9" hidden="1" x14ac:dyDescent="0.25">
      <c r="A52">
        <v>43</v>
      </c>
      <c r="B52" t="s">
        <v>167</v>
      </c>
      <c r="C52" t="s">
        <v>139</v>
      </c>
      <c r="D52" t="s">
        <v>139</v>
      </c>
      <c r="E52" t="s">
        <v>139</v>
      </c>
      <c r="F52" t="s">
        <v>139</v>
      </c>
      <c r="G52" t="s">
        <v>139</v>
      </c>
      <c r="H52" t="s">
        <v>139</v>
      </c>
    </row>
    <row r="53" spans="1:9" x14ac:dyDescent="0.25">
      <c r="A53">
        <v>44</v>
      </c>
      <c r="B53" t="s">
        <v>247</v>
      </c>
      <c r="C53">
        <v>7</v>
      </c>
      <c r="D53" t="s">
        <v>207</v>
      </c>
      <c r="E53" t="s">
        <v>249</v>
      </c>
      <c r="F53" t="s">
        <v>139</v>
      </c>
      <c r="G53" t="s">
        <v>929</v>
      </c>
      <c r="H53" t="s">
        <v>113</v>
      </c>
      <c r="I53">
        <f>_xlfn.XLOOKUP(H53,'SO-DIMM-i9'!A:A,'SO-DIMM-i9'!B:B,_xlfn.XLOOKUP(H53,'SO-DIMM-i9'!H:H,'SO-DIMM-i9'!G:G,""))</f>
        <v>140</v>
      </c>
    </row>
    <row r="54" spans="1:9" x14ac:dyDescent="0.25">
      <c r="A54">
        <v>45</v>
      </c>
      <c r="B54" t="s">
        <v>251</v>
      </c>
      <c r="C54">
        <v>7</v>
      </c>
      <c r="D54" t="s">
        <v>139</v>
      </c>
      <c r="E54" t="s">
        <v>252</v>
      </c>
      <c r="F54" t="b">
        <v>1</v>
      </c>
      <c r="G54" t="s">
        <v>931</v>
      </c>
      <c r="H54" t="s">
        <v>93</v>
      </c>
      <c r="I54">
        <f>_xlfn.XLOOKUP(H54,'SO-DIMM-i9'!A:A,'SO-DIMM-i9'!B:B,_xlfn.XLOOKUP(H54,'SO-DIMM-i9'!H:H,'SO-DIMM-i9'!G:G,""))</f>
        <v>116</v>
      </c>
    </row>
    <row r="55" spans="1:9" hidden="1" x14ac:dyDescent="0.25">
      <c r="A55">
        <v>46</v>
      </c>
      <c r="B55" t="s">
        <v>161</v>
      </c>
      <c r="C55" t="s">
        <v>139</v>
      </c>
      <c r="D55" t="s">
        <v>139</v>
      </c>
      <c r="E55" t="s">
        <v>139</v>
      </c>
      <c r="F55" t="s">
        <v>139</v>
      </c>
      <c r="G55" t="s">
        <v>139</v>
      </c>
      <c r="H55" t="s">
        <v>139</v>
      </c>
    </row>
    <row r="56" spans="1:9" x14ac:dyDescent="0.25">
      <c r="A56">
        <v>47</v>
      </c>
      <c r="B56" t="s">
        <v>253</v>
      </c>
      <c r="C56">
        <v>7</v>
      </c>
      <c r="D56" t="s">
        <v>139</v>
      </c>
      <c r="E56" t="s">
        <v>254</v>
      </c>
      <c r="F56" t="s">
        <v>139</v>
      </c>
      <c r="G56" t="s">
        <v>929</v>
      </c>
      <c r="H56" t="s">
        <v>110</v>
      </c>
      <c r="I56">
        <f>_xlfn.XLOOKUP(H56,'SO-DIMM-i9'!A:A,'SO-DIMM-i9'!B:B,_xlfn.XLOOKUP(H56,'SO-DIMM-i9'!H:H,'SO-DIMM-i9'!G:G,""))</f>
        <v>136</v>
      </c>
    </row>
    <row r="57" spans="1:9" x14ac:dyDescent="0.25">
      <c r="A57">
        <v>48</v>
      </c>
      <c r="B57" t="s">
        <v>255</v>
      </c>
      <c r="C57">
        <v>7</v>
      </c>
      <c r="D57" t="s">
        <v>215</v>
      </c>
      <c r="E57" t="s">
        <v>256</v>
      </c>
      <c r="F57" t="b">
        <v>1</v>
      </c>
      <c r="G57" t="s">
        <v>929</v>
      </c>
      <c r="H57" t="s">
        <v>7</v>
      </c>
      <c r="I57">
        <f>_xlfn.XLOOKUP(H57,'SO-DIMM-i9'!A:A,'SO-DIMM-i9'!B:B,_xlfn.XLOOKUP(H57,'SO-DIMM-i9'!H:H,'SO-DIMM-i9'!G:G,""))</f>
        <v>134</v>
      </c>
    </row>
    <row r="58" spans="1:9" hidden="1" x14ac:dyDescent="0.25">
      <c r="A58">
        <v>49</v>
      </c>
      <c r="B58" t="s">
        <v>146</v>
      </c>
      <c r="C58" t="s">
        <v>139</v>
      </c>
      <c r="D58" t="s">
        <v>139</v>
      </c>
      <c r="E58" t="s">
        <v>139</v>
      </c>
      <c r="F58" t="s">
        <v>139</v>
      </c>
      <c r="G58" t="s">
        <v>139</v>
      </c>
      <c r="H58" t="s">
        <v>139</v>
      </c>
    </row>
    <row r="59" spans="1:9" x14ac:dyDescent="0.25">
      <c r="A59">
        <v>50</v>
      </c>
      <c r="B59" t="s">
        <v>259</v>
      </c>
      <c r="C59">
        <v>7</v>
      </c>
      <c r="D59" t="s">
        <v>218</v>
      </c>
      <c r="E59" t="s">
        <v>260</v>
      </c>
      <c r="F59" t="s">
        <v>139</v>
      </c>
      <c r="G59" t="s">
        <v>929</v>
      </c>
      <c r="H59" t="s">
        <v>127</v>
      </c>
      <c r="I59">
        <f>_xlfn.XLOOKUP(H59,'SO-DIMM-i9'!A:A,'SO-DIMM-i9'!B:B,_xlfn.XLOOKUP(H59,'SO-DIMM-i9'!H:H,'SO-DIMM-i9'!G:G,""))</f>
        <v>155</v>
      </c>
    </row>
    <row r="60" spans="1:9" x14ac:dyDescent="0.25">
      <c r="A60">
        <v>51</v>
      </c>
      <c r="B60" t="s">
        <v>262</v>
      </c>
      <c r="C60">
        <v>7</v>
      </c>
      <c r="D60" t="s">
        <v>221</v>
      </c>
      <c r="E60" t="s">
        <v>263</v>
      </c>
      <c r="F60" t="b">
        <v>1</v>
      </c>
      <c r="G60" t="s">
        <v>929</v>
      </c>
      <c r="H60" t="s">
        <v>8</v>
      </c>
      <c r="I60">
        <f>_xlfn.XLOOKUP(H60,'SO-DIMM-i9'!A:A,'SO-DIMM-i9'!B:B,_xlfn.XLOOKUP(H60,'SO-DIMM-i9'!H:H,'SO-DIMM-i9'!G:G,""))</f>
        <v>132</v>
      </c>
    </row>
    <row r="61" spans="1:9" hidden="1" x14ac:dyDescent="0.25">
      <c r="A61">
        <v>52</v>
      </c>
      <c r="B61" t="s">
        <v>150</v>
      </c>
      <c r="C61" t="s">
        <v>139</v>
      </c>
      <c r="D61" t="s">
        <v>139</v>
      </c>
      <c r="E61" t="s">
        <v>139</v>
      </c>
      <c r="F61" t="s">
        <v>139</v>
      </c>
      <c r="G61" t="s">
        <v>139</v>
      </c>
      <c r="H61" t="s">
        <v>139</v>
      </c>
    </row>
    <row r="62" spans="1:9" x14ac:dyDescent="0.25">
      <c r="A62">
        <v>53</v>
      </c>
      <c r="B62" t="s">
        <v>266</v>
      </c>
      <c r="C62">
        <v>7</v>
      </c>
      <c r="D62" t="s">
        <v>224</v>
      </c>
      <c r="E62" t="s">
        <v>267</v>
      </c>
      <c r="F62" t="s">
        <v>139</v>
      </c>
      <c r="G62" t="s">
        <v>929</v>
      </c>
      <c r="H62" t="s">
        <v>123</v>
      </c>
      <c r="I62">
        <f>_xlfn.XLOOKUP(H62,'SO-DIMM-i9'!A:A,'SO-DIMM-i9'!B:B,_xlfn.XLOOKUP(H62,'SO-DIMM-i9'!H:H,'SO-DIMM-i9'!G:G,""))</f>
        <v>151</v>
      </c>
    </row>
    <row r="63" spans="1:9" hidden="1" x14ac:dyDescent="0.25">
      <c r="A63">
        <v>54</v>
      </c>
      <c r="B63" t="s">
        <v>269</v>
      </c>
      <c r="C63">
        <v>6</v>
      </c>
      <c r="D63" t="s">
        <v>227</v>
      </c>
      <c r="E63" t="s">
        <v>270</v>
      </c>
      <c r="F63" t="b">
        <v>1</v>
      </c>
      <c r="G63" t="s">
        <v>932</v>
      </c>
      <c r="H63" t="s">
        <v>230</v>
      </c>
      <c r="I63" t="str">
        <f>_xlfn.XLOOKUP(H63,'SO-DIMM-i9'!A:A,'SO-DIMM-i9'!B:B,_xlfn.XLOOKUP(H63,'SO-DIMM-i9'!H:H,'SO-DIMM-i9'!G:G,""))</f>
        <v/>
      </c>
    </row>
    <row r="64" spans="1:9" hidden="1" x14ac:dyDescent="0.25">
      <c r="A64">
        <v>55</v>
      </c>
      <c r="B64" t="s">
        <v>231</v>
      </c>
      <c r="C64" t="s">
        <v>139</v>
      </c>
      <c r="D64" t="s">
        <v>139</v>
      </c>
      <c r="E64" t="s">
        <v>139</v>
      </c>
      <c r="F64" t="s">
        <v>139</v>
      </c>
      <c r="G64" t="s">
        <v>139</v>
      </c>
      <c r="H64" t="s">
        <v>139</v>
      </c>
    </row>
    <row r="65" spans="1:9" hidden="1" x14ac:dyDescent="0.25">
      <c r="A65">
        <v>56</v>
      </c>
      <c r="B65" t="s">
        <v>271</v>
      </c>
      <c r="C65">
        <v>6</v>
      </c>
      <c r="D65" t="s">
        <v>233</v>
      </c>
      <c r="E65" t="s">
        <v>272</v>
      </c>
      <c r="F65" t="s">
        <v>139</v>
      </c>
      <c r="G65" t="s">
        <v>932</v>
      </c>
      <c r="H65" t="s">
        <v>235</v>
      </c>
      <c r="I65" t="str">
        <f>_xlfn.XLOOKUP(H65,'SO-DIMM-i9'!A:A,'SO-DIMM-i9'!B:B,_xlfn.XLOOKUP(H65,'SO-DIMM-i9'!H:H,'SO-DIMM-i9'!G:G,""))</f>
        <v/>
      </c>
    </row>
    <row r="66" spans="1:9" x14ac:dyDescent="0.25">
      <c r="A66">
        <v>57</v>
      </c>
      <c r="B66" t="s">
        <v>273</v>
      </c>
      <c r="C66">
        <v>6</v>
      </c>
      <c r="D66" t="s">
        <v>237</v>
      </c>
      <c r="E66" t="s">
        <v>275</v>
      </c>
      <c r="F66" t="b">
        <v>1</v>
      </c>
      <c r="G66" t="s">
        <v>932</v>
      </c>
      <c r="H66" t="s">
        <v>9</v>
      </c>
      <c r="I66">
        <f>_xlfn.XLOOKUP(H66,'SO-DIMM-i9'!A:A,'SO-DIMM-i9'!B:B,_xlfn.XLOOKUP(H66,'SO-DIMM-i9'!H:H,'SO-DIMM-i9'!G:G,""))</f>
        <v>130</v>
      </c>
    </row>
    <row r="67" spans="1:9" hidden="1" x14ac:dyDescent="0.25">
      <c r="A67">
        <v>58</v>
      </c>
      <c r="B67" t="s">
        <v>239</v>
      </c>
      <c r="C67" t="s">
        <v>139</v>
      </c>
      <c r="D67" t="s">
        <v>139</v>
      </c>
      <c r="E67" t="s">
        <v>139</v>
      </c>
      <c r="F67" t="s">
        <v>139</v>
      </c>
      <c r="G67" t="s">
        <v>139</v>
      </c>
      <c r="H67" t="s">
        <v>139</v>
      </c>
    </row>
    <row r="68" spans="1:9" hidden="1" x14ac:dyDescent="0.25">
      <c r="A68">
        <v>59</v>
      </c>
      <c r="B68" t="s">
        <v>276</v>
      </c>
      <c r="C68">
        <v>6</v>
      </c>
      <c r="D68" t="s">
        <v>241</v>
      </c>
      <c r="E68" t="s">
        <v>277</v>
      </c>
      <c r="F68" t="s">
        <v>139</v>
      </c>
      <c r="G68" t="s">
        <v>932</v>
      </c>
      <c r="H68" t="s">
        <v>243</v>
      </c>
      <c r="I68" t="str">
        <f>_xlfn.XLOOKUP(H68,'SO-DIMM-i9'!A:A,'SO-DIMM-i9'!B:B,_xlfn.XLOOKUP(H68,'SO-DIMM-i9'!H:H,'SO-DIMM-i9'!G:G,""))</f>
        <v/>
      </c>
    </row>
    <row r="69" spans="1:9" x14ac:dyDescent="0.25">
      <c r="A69">
        <v>60</v>
      </c>
      <c r="B69" t="s">
        <v>278</v>
      </c>
      <c r="C69">
        <v>6</v>
      </c>
      <c r="D69" t="s">
        <v>245</v>
      </c>
      <c r="E69" t="s">
        <v>279</v>
      </c>
      <c r="F69" t="b">
        <v>1</v>
      </c>
      <c r="G69" t="s">
        <v>932</v>
      </c>
      <c r="H69" t="s">
        <v>10</v>
      </c>
      <c r="I69">
        <f>_xlfn.XLOOKUP(H69,'SO-DIMM-i9'!A:A,'SO-DIMM-i9'!B:B,_xlfn.XLOOKUP(H69,'SO-DIMM-i9'!H:H,'SO-DIMM-i9'!G:G,""))</f>
        <v>142</v>
      </c>
    </row>
    <row r="70" spans="1:9" hidden="1" x14ac:dyDescent="0.25">
      <c r="A70">
        <v>61</v>
      </c>
      <c r="B70" t="s">
        <v>156</v>
      </c>
      <c r="C70" t="s">
        <v>139</v>
      </c>
      <c r="D70" t="s">
        <v>139</v>
      </c>
      <c r="E70" t="s">
        <v>139</v>
      </c>
      <c r="F70" t="s">
        <v>139</v>
      </c>
      <c r="G70" t="s">
        <v>139</v>
      </c>
      <c r="H70" t="s">
        <v>139</v>
      </c>
    </row>
    <row r="71" spans="1:9" hidden="1" x14ac:dyDescent="0.25">
      <c r="A71">
        <v>62</v>
      </c>
      <c r="B71" t="s">
        <v>281</v>
      </c>
      <c r="C71">
        <v>6</v>
      </c>
      <c r="D71" t="s">
        <v>248</v>
      </c>
      <c r="E71" t="s">
        <v>282</v>
      </c>
      <c r="F71" t="s">
        <v>139</v>
      </c>
      <c r="G71" t="s">
        <v>932</v>
      </c>
      <c r="H71" t="s">
        <v>250</v>
      </c>
      <c r="I71" t="str">
        <f>_xlfn.XLOOKUP(H71,'SO-DIMM-i9'!A:A,'SO-DIMM-i9'!B:B,_xlfn.XLOOKUP(H71,'SO-DIMM-i9'!H:H,'SO-DIMM-i9'!G:G,""))</f>
        <v/>
      </c>
    </row>
    <row r="72" spans="1:9" x14ac:dyDescent="0.25">
      <c r="A72">
        <v>63</v>
      </c>
      <c r="B72" t="s">
        <v>283</v>
      </c>
      <c r="C72">
        <v>6</v>
      </c>
      <c r="D72" t="s">
        <v>139</v>
      </c>
      <c r="E72" t="s">
        <v>284</v>
      </c>
      <c r="F72" t="b">
        <v>1</v>
      </c>
      <c r="G72" t="s">
        <v>932</v>
      </c>
      <c r="H72" t="s">
        <v>116</v>
      </c>
      <c r="I72">
        <f>_xlfn.XLOOKUP(H72,'SO-DIMM-i9'!A:A,'SO-DIMM-i9'!B:B,_xlfn.XLOOKUP(H72,'SO-DIMM-i9'!H:H,'SO-DIMM-i9'!G:G,""))</f>
        <v>144</v>
      </c>
    </row>
    <row r="73" spans="1:9" hidden="1" x14ac:dyDescent="0.25">
      <c r="A73">
        <v>64</v>
      </c>
      <c r="B73" t="s">
        <v>161</v>
      </c>
      <c r="C73" t="s">
        <v>139</v>
      </c>
      <c r="D73" t="s">
        <v>139</v>
      </c>
      <c r="E73" t="s">
        <v>139</v>
      </c>
      <c r="F73" t="s">
        <v>139</v>
      </c>
      <c r="G73" t="s">
        <v>139</v>
      </c>
      <c r="H73" t="s">
        <v>139</v>
      </c>
    </row>
    <row r="74" spans="1:9" x14ac:dyDescent="0.25">
      <c r="A74">
        <v>65</v>
      </c>
      <c r="B74" t="s">
        <v>286</v>
      </c>
      <c r="C74">
        <v>6</v>
      </c>
      <c r="D74" t="s">
        <v>139</v>
      </c>
      <c r="E74" t="s">
        <v>287</v>
      </c>
      <c r="F74" t="s">
        <v>139</v>
      </c>
      <c r="G74" t="s">
        <v>932</v>
      </c>
      <c r="H74" t="s">
        <v>118</v>
      </c>
      <c r="I74">
        <f>_xlfn.XLOOKUP(H74,'SO-DIMM-i9'!A:A,'SO-DIMM-i9'!B:B,_xlfn.XLOOKUP(H74,'SO-DIMM-i9'!H:H,'SO-DIMM-i9'!G:G,""))</f>
        <v>146</v>
      </c>
    </row>
    <row r="75" spans="1:9" hidden="1" x14ac:dyDescent="0.25">
      <c r="A75">
        <v>66</v>
      </c>
      <c r="B75" t="s">
        <v>289</v>
      </c>
      <c r="C75">
        <v>6</v>
      </c>
      <c r="D75" t="s">
        <v>139</v>
      </c>
      <c r="E75" t="s">
        <v>290</v>
      </c>
      <c r="F75" t="b">
        <v>1</v>
      </c>
      <c r="G75" t="s">
        <v>933</v>
      </c>
      <c r="H75" t="s">
        <v>258</v>
      </c>
      <c r="I75" t="str">
        <f>_xlfn.XLOOKUP(H75,'SO-DIMM-i9'!A:A,'SO-DIMM-i9'!B:B,_xlfn.XLOOKUP(H75,'SO-DIMM-i9'!H:H,'SO-DIMM-i9'!G:G,""))</f>
        <v/>
      </c>
    </row>
    <row r="76" spans="1:9" hidden="1" x14ac:dyDescent="0.25">
      <c r="A76">
        <v>67</v>
      </c>
      <c r="B76" t="s">
        <v>167</v>
      </c>
      <c r="C76" t="s">
        <v>139</v>
      </c>
      <c r="D76" t="s">
        <v>139</v>
      </c>
      <c r="E76" t="s">
        <v>139</v>
      </c>
      <c r="F76" t="s">
        <v>139</v>
      </c>
      <c r="G76" t="s">
        <v>139</v>
      </c>
      <c r="H76" t="s">
        <v>139</v>
      </c>
    </row>
    <row r="77" spans="1:9" hidden="1" x14ac:dyDescent="0.25">
      <c r="A77">
        <v>68</v>
      </c>
      <c r="B77" t="s">
        <v>291</v>
      </c>
      <c r="C77">
        <v>6</v>
      </c>
      <c r="D77" t="s">
        <v>139</v>
      </c>
      <c r="E77" t="s">
        <v>292</v>
      </c>
      <c r="F77" t="s">
        <v>139</v>
      </c>
      <c r="G77" t="s">
        <v>932</v>
      </c>
      <c r="H77" t="s">
        <v>261</v>
      </c>
      <c r="I77" t="str">
        <f>_xlfn.XLOOKUP(H77,'SO-DIMM-i9'!A:A,'SO-DIMM-i9'!B:B,_xlfn.XLOOKUP(H77,'SO-DIMM-i9'!H:H,'SO-DIMM-i9'!G:G,""))</f>
        <v/>
      </c>
    </row>
    <row r="78" spans="1:9" hidden="1" x14ac:dyDescent="0.25">
      <c r="A78">
        <v>69</v>
      </c>
      <c r="B78" t="s">
        <v>294</v>
      </c>
      <c r="C78">
        <v>6</v>
      </c>
      <c r="D78" t="s">
        <v>139</v>
      </c>
      <c r="E78" t="s">
        <v>295</v>
      </c>
      <c r="F78" t="b">
        <v>1</v>
      </c>
      <c r="G78" t="s">
        <v>934</v>
      </c>
      <c r="H78" t="s">
        <v>265</v>
      </c>
      <c r="I78" t="str">
        <f>_xlfn.XLOOKUP(H78,'SO-DIMM-i9'!A:A,'SO-DIMM-i9'!B:B,_xlfn.XLOOKUP(H78,'SO-DIMM-i9'!H:H,'SO-DIMM-i9'!G:G,""))</f>
        <v/>
      </c>
    </row>
    <row r="79" spans="1:9" hidden="1" x14ac:dyDescent="0.25">
      <c r="A79">
        <v>70</v>
      </c>
      <c r="B79" t="s">
        <v>161</v>
      </c>
      <c r="C79" t="s">
        <v>139</v>
      </c>
      <c r="D79" t="s">
        <v>139</v>
      </c>
      <c r="E79" t="s">
        <v>139</v>
      </c>
      <c r="F79" t="s">
        <v>139</v>
      </c>
      <c r="G79" t="s">
        <v>139</v>
      </c>
      <c r="H79" t="s">
        <v>139</v>
      </c>
    </row>
    <row r="80" spans="1:9" hidden="1" x14ac:dyDescent="0.25">
      <c r="A80">
        <v>71</v>
      </c>
      <c r="B80" t="s">
        <v>296</v>
      </c>
      <c r="C80">
        <v>6</v>
      </c>
      <c r="D80" t="s">
        <v>139</v>
      </c>
      <c r="E80" t="s">
        <v>297</v>
      </c>
      <c r="F80" t="s">
        <v>139</v>
      </c>
      <c r="G80" t="s">
        <v>932</v>
      </c>
      <c r="H80" t="s">
        <v>268</v>
      </c>
      <c r="I80" t="str">
        <f>_xlfn.XLOOKUP(H80,'SO-DIMM-i9'!A:A,'SO-DIMM-i9'!B:B,_xlfn.XLOOKUP(H80,'SO-DIMM-i9'!H:H,'SO-DIMM-i9'!G:G,""))</f>
        <v/>
      </c>
    </row>
    <row r="81" spans="1:9" x14ac:dyDescent="0.25">
      <c r="A81">
        <v>72</v>
      </c>
      <c r="B81" t="s">
        <v>299</v>
      </c>
      <c r="C81">
        <v>6</v>
      </c>
      <c r="D81" t="s">
        <v>139</v>
      </c>
      <c r="E81" t="s">
        <v>300</v>
      </c>
      <c r="F81" t="b">
        <v>1</v>
      </c>
      <c r="G81" t="s">
        <v>932</v>
      </c>
      <c r="H81" t="s">
        <v>120</v>
      </c>
      <c r="I81">
        <f>_xlfn.XLOOKUP(H81,'SO-DIMM-i9'!A:A,'SO-DIMM-i9'!B:B,_xlfn.XLOOKUP(H81,'SO-DIMM-i9'!H:H,'SO-DIMM-i9'!G:G,""))</f>
        <v>148</v>
      </c>
    </row>
    <row r="82" spans="1:9" hidden="1" x14ac:dyDescent="0.25">
      <c r="A82">
        <v>73</v>
      </c>
      <c r="B82" t="s">
        <v>231</v>
      </c>
      <c r="C82" t="s">
        <v>139</v>
      </c>
      <c r="D82" t="s">
        <v>139</v>
      </c>
      <c r="E82" t="s">
        <v>139</v>
      </c>
      <c r="F82" t="s">
        <v>139</v>
      </c>
      <c r="G82" t="s">
        <v>139</v>
      </c>
      <c r="H82" t="s">
        <v>139</v>
      </c>
    </row>
    <row r="83" spans="1:9" x14ac:dyDescent="0.25">
      <c r="A83">
        <v>74</v>
      </c>
      <c r="B83" t="s">
        <v>302</v>
      </c>
      <c r="C83">
        <v>6</v>
      </c>
      <c r="D83" t="s">
        <v>139</v>
      </c>
      <c r="E83" t="s">
        <v>303</v>
      </c>
      <c r="F83" t="s">
        <v>139</v>
      </c>
      <c r="G83" t="s">
        <v>932</v>
      </c>
      <c r="H83" t="s">
        <v>59</v>
      </c>
      <c r="I83">
        <f>_xlfn.XLOOKUP(H83,'SO-DIMM-i9'!A:A,'SO-DIMM-i9'!B:B,_xlfn.XLOOKUP(H83,'SO-DIMM-i9'!H:H,'SO-DIMM-i9'!G:G,""))</f>
        <v>74</v>
      </c>
    </row>
    <row r="84" spans="1:9" x14ac:dyDescent="0.25">
      <c r="A84">
        <v>75</v>
      </c>
      <c r="B84" t="s">
        <v>305</v>
      </c>
      <c r="C84">
        <v>6</v>
      </c>
      <c r="D84" t="s">
        <v>274</v>
      </c>
      <c r="E84" t="s">
        <v>306</v>
      </c>
      <c r="F84" t="b">
        <v>1</v>
      </c>
      <c r="G84" t="s">
        <v>932</v>
      </c>
      <c r="H84" t="s">
        <v>122</v>
      </c>
      <c r="I84">
        <f>_xlfn.XLOOKUP(H84,'SO-DIMM-i9'!A:A,'SO-DIMM-i9'!B:B,_xlfn.XLOOKUP(H84,'SO-DIMM-i9'!H:H,'SO-DIMM-i9'!G:G,""))</f>
        <v>150</v>
      </c>
    </row>
    <row r="85" spans="1:9" hidden="1" x14ac:dyDescent="0.25">
      <c r="A85">
        <v>76</v>
      </c>
      <c r="B85" t="s">
        <v>239</v>
      </c>
      <c r="C85" t="s">
        <v>139</v>
      </c>
      <c r="D85" t="s">
        <v>139</v>
      </c>
      <c r="E85" t="s">
        <v>139</v>
      </c>
      <c r="F85" t="s">
        <v>139</v>
      </c>
      <c r="G85" t="s">
        <v>139</v>
      </c>
      <c r="H85" t="s">
        <v>139</v>
      </c>
    </row>
    <row r="86" spans="1:9" x14ac:dyDescent="0.25">
      <c r="A86">
        <v>77</v>
      </c>
      <c r="B86" t="s">
        <v>308</v>
      </c>
      <c r="C86">
        <v>6</v>
      </c>
      <c r="D86" t="s">
        <v>139</v>
      </c>
      <c r="E86" t="s">
        <v>309</v>
      </c>
      <c r="F86" t="s">
        <v>139</v>
      </c>
      <c r="G86" t="s">
        <v>932</v>
      </c>
      <c r="H86" t="s">
        <v>61</v>
      </c>
      <c r="I86">
        <f>_xlfn.XLOOKUP(H86,'SO-DIMM-i9'!A:A,'SO-DIMM-i9'!B:B,_xlfn.XLOOKUP(H86,'SO-DIMM-i9'!H:H,'SO-DIMM-i9'!G:G,""))</f>
        <v>76</v>
      </c>
    </row>
    <row r="87" spans="1:9" hidden="1" x14ac:dyDescent="0.25">
      <c r="A87">
        <v>78</v>
      </c>
      <c r="B87" t="s">
        <v>311</v>
      </c>
      <c r="C87">
        <v>6</v>
      </c>
      <c r="D87" t="s">
        <v>139</v>
      </c>
      <c r="E87" t="s">
        <v>312</v>
      </c>
      <c r="F87" t="b">
        <v>1</v>
      </c>
      <c r="G87" t="s">
        <v>935</v>
      </c>
      <c r="H87" t="s">
        <v>139</v>
      </c>
    </row>
    <row r="88" spans="1:9" hidden="1" x14ac:dyDescent="0.25">
      <c r="A88">
        <v>79</v>
      </c>
      <c r="B88" t="s">
        <v>231</v>
      </c>
      <c r="C88" t="s">
        <v>139</v>
      </c>
      <c r="D88" t="s">
        <v>139</v>
      </c>
      <c r="E88" t="s">
        <v>139</v>
      </c>
      <c r="F88" t="s">
        <v>139</v>
      </c>
      <c r="G88" t="s">
        <v>139</v>
      </c>
      <c r="H88" t="s">
        <v>139</v>
      </c>
    </row>
    <row r="89" spans="1:9" hidden="1" x14ac:dyDescent="0.25">
      <c r="A89">
        <v>80</v>
      </c>
      <c r="B89" t="s">
        <v>317</v>
      </c>
      <c r="C89">
        <v>6</v>
      </c>
      <c r="D89" t="s">
        <v>139</v>
      </c>
      <c r="E89" t="s">
        <v>319</v>
      </c>
      <c r="F89" t="s">
        <v>139</v>
      </c>
      <c r="G89" t="s">
        <v>935</v>
      </c>
      <c r="H89" t="s">
        <v>139</v>
      </c>
    </row>
    <row r="90" spans="1:9" hidden="1" x14ac:dyDescent="0.25">
      <c r="A90">
        <v>81</v>
      </c>
      <c r="B90" t="s">
        <v>314</v>
      </c>
      <c r="C90">
        <v>6</v>
      </c>
      <c r="D90" t="s">
        <v>139</v>
      </c>
      <c r="E90" t="s">
        <v>315</v>
      </c>
      <c r="F90" t="b">
        <v>1</v>
      </c>
      <c r="G90" t="s">
        <v>935</v>
      </c>
      <c r="H90" t="s">
        <v>139</v>
      </c>
    </row>
    <row r="91" spans="1:9" hidden="1" x14ac:dyDescent="0.25">
      <c r="A91">
        <v>82</v>
      </c>
      <c r="B91" t="s">
        <v>239</v>
      </c>
      <c r="C91" t="s">
        <v>139</v>
      </c>
      <c r="D91" t="s">
        <v>139</v>
      </c>
      <c r="E91" t="s">
        <v>139</v>
      </c>
      <c r="F91" t="s">
        <v>139</v>
      </c>
      <c r="G91" t="s">
        <v>139</v>
      </c>
      <c r="H91" t="s">
        <v>139</v>
      </c>
    </row>
    <row r="92" spans="1:9" hidden="1" x14ac:dyDescent="0.25">
      <c r="A92">
        <v>83</v>
      </c>
      <c r="B92" t="s">
        <v>321</v>
      </c>
      <c r="C92">
        <v>6</v>
      </c>
      <c r="D92" t="s">
        <v>139</v>
      </c>
      <c r="E92" t="s">
        <v>323</v>
      </c>
      <c r="F92" t="s">
        <v>139</v>
      </c>
      <c r="G92" t="s">
        <v>935</v>
      </c>
      <c r="H92" t="s">
        <v>139</v>
      </c>
    </row>
    <row r="93" spans="1:9" hidden="1" x14ac:dyDescent="0.25">
      <c r="A93">
        <v>84</v>
      </c>
      <c r="B93" t="s">
        <v>936</v>
      </c>
      <c r="C93">
        <v>6</v>
      </c>
      <c r="D93" t="s">
        <v>139</v>
      </c>
      <c r="E93" t="s">
        <v>937</v>
      </c>
      <c r="F93" t="b">
        <v>1</v>
      </c>
      <c r="G93" t="s">
        <v>935</v>
      </c>
      <c r="H93" t="s">
        <v>139</v>
      </c>
    </row>
    <row r="94" spans="1:9" hidden="1" x14ac:dyDescent="0.25">
      <c r="A94">
        <v>85</v>
      </c>
      <c r="B94" t="s">
        <v>156</v>
      </c>
      <c r="C94" t="s">
        <v>139</v>
      </c>
      <c r="D94" t="s">
        <v>139</v>
      </c>
      <c r="E94" t="s">
        <v>139</v>
      </c>
      <c r="F94" t="s">
        <v>139</v>
      </c>
      <c r="G94" t="s">
        <v>139</v>
      </c>
      <c r="H94" t="s">
        <v>139</v>
      </c>
    </row>
    <row r="95" spans="1:9" hidden="1" x14ac:dyDescent="0.25">
      <c r="A95">
        <v>86</v>
      </c>
      <c r="B95" t="s">
        <v>938</v>
      </c>
      <c r="C95">
        <v>6</v>
      </c>
      <c r="D95" t="s">
        <v>139</v>
      </c>
      <c r="E95" t="s">
        <v>939</v>
      </c>
      <c r="F95" t="s">
        <v>139</v>
      </c>
      <c r="G95" t="s">
        <v>935</v>
      </c>
      <c r="H95" t="s">
        <v>139</v>
      </c>
    </row>
    <row r="96" spans="1:9" hidden="1" x14ac:dyDescent="0.25">
      <c r="A96">
        <v>87</v>
      </c>
      <c r="B96" t="s">
        <v>940</v>
      </c>
      <c r="C96">
        <v>6</v>
      </c>
      <c r="D96" t="s">
        <v>139</v>
      </c>
      <c r="E96" t="s">
        <v>941</v>
      </c>
      <c r="F96" t="b">
        <v>1</v>
      </c>
      <c r="G96" t="s">
        <v>935</v>
      </c>
      <c r="H96" t="s">
        <v>139</v>
      </c>
    </row>
    <row r="97" spans="1:9" hidden="1" x14ac:dyDescent="0.25">
      <c r="A97">
        <v>88</v>
      </c>
      <c r="B97" t="s">
        <v>161</v>
      </c>
      <c r="C97" t="s">
        <v>139</v>
      </c>
      <c r="D97" t="s">
        <v>139</v>
      </c>
      <c r="E97" t="s">
        <v>139</v>
      </c>
      <c r="F97" t="s">
        <v>139</v>
      </c>
      <c r="G97" t="s">
        <v>139</v>
      </c>
      <c r="H97" t="s">
        <v>139</v>
      </c>
    </row>
    <row r="98" spans="1:9" hidden="1" x14ac:dyDescent="0.25">
      <c r="A98">
        <v>89</v>
      </c>
      <c r="B98" t="s">
        <v>942</v>
      </c>
      <c r="C98">
        <v>6</v>
      </c>
      <c r="D98" t="s">
        <v>139</v>
      </c>
      <c r="E98" t="s">
        <v>943</v>
      </c>
      <c r="F98" t="s">
        <v>139</v>
      </c>
      <c r="G98" t="s">
        <v>935</v>
      </c>
      <c r="H98" t="s">
        <v>139</v>
      </c>
    </row>
    <row r="99" spans="1:9" hidden="1" x14ac:dyDescent="0.25">
      <c r="A99">
        <v>90</v>
      </c>
      <c r="B99" t="s">
        <v>944</v>
      </c>
      <c r="C99">
        <v>6</v>
      </c>
      <c r="D99" t="s">
        <v>139</v>
      </c>
      <c r="E99" t="s">
        <v>945</v>
      </c>
      <c r="F99" t="b">
        <v>1</v>
      </c>
      <c r="G99" t="s">
        <v>946</v>
      </c>
      <c r="H99" t="s">
        <v>918</v>
      </c>
      <c r="I99" t="str">
        <f>_xlfn.XLOOKUP(H99,'SO-DIMM-i9'!A:A,'SO-DIMM-i9'!B:B,_xlfn.XLOOKUP(H99,'SO-DIMM-i9'!H:H,'SO-DIMM-i9'!G:G,""))</f>
        <v/>
      </c>
    </row>
    <row r="100" spans="1:9" hidden="1" x14ac:dyDescent="0.25">
      <c r="A100">
        <v>91</v>
      </c>
      <c r="B100" t="s">
        <v>167</v>
      </c>
      <c r="C100" t="s">
        <v>139</v>
      </c>
      <c r="D100" t="s">
        <v>139</v>
      </c>
      <c r="E100" t="s">
        <v>139</v>
      </c>
      <c r="F100" t="s">
        <v>139</v>
      </c>
      <c r="G100" t="s">
        <v>139</v>
      </c>
      <c r="H100" t="s">
        <v>139</v>
      </c>
    </row>
    <row r="101" spans="1:9" hidden="1" x14ac:dyDescent="0.25">
      <c r="A101">
        <v>92</v>
      </c>
      <c r="B101" t="s">
        <v>947</v>
      </c>
      <c r="C101">
        <v>6</v>
      </c>
      <c r="D101" t="s">
        <v>139</v>
      </c>
      <c r="E101" t="s">
        <v>948</v>
      </c>
      <c r="F101" t="s">
        <v>139</v>
      </c>
      <c r="G101" t="s">
        <v>935</v>
      </c>
      <c r="H101" t="s">
        <v>139</v>
      </c>
    </row>
    <row r="102" spans="1:9" hidden="1" x14ac:dyDescent="0.25">
      <c r="A102">
        <v>93</v>
      </c>
      <c r="B102" t="s">
        <v>949</v>
      </c>
      <c r="C102">
        <v>6</v>
      </c>
      <c r="D102" t="s">
        <v>139</v>
      </c>
      <c r="E102" t="s">
        <v>950</v>
      </c>
      <c r="F102" t="b">
        <v>1</v>
      </c>
      <c r="G102" t="s">
        <v>951</v>
      </c>
      <c r="H102" t="s">
        <v>139</v>
      </c>
    </row>
    <row r="103" spans="1:9" hidden="1" x14ac:dyDescent="0.25">
      <c r="A103">
        <v>94</v>
      </c>
      <c r="B103" t="s">
        <v>161</v>
      </c>
      <c r="C103" t="s">
        <v>139</v>
      </c>
      <c r="D103" t="s">
        <v>139</v>
      </c>
      <c r="E103" t="s">
        <v>139</v>
      </c>
      <c r="F103" t="s">
        <v>139</v>
      </c>
      <c r="G103" t="s">
        <v>139</v>
      </c>
      <c r="H103" t="s">
        <v>139</v>
      </c>
    </row>
    <row r="104" spans="1:9" hidden="1" x14ac:dyDescent="0.25">
      <c r="A104">
        <v>95</v>
      </c>
      <c r="B104" t="s">
        <v>952</v>
      </c>
      <c r="C104">
        <v>6</v>
      </c>
      <c r="D104" t="s">
        <v>139</v>
      </c>
      <c r="E104" t="s">
        <v>953</v>
      </c>
      <c r="F104" t="s">
        <v>139</v>
      </c>
      <c r="G104" t="s">
        <v>935</v>
      </c>
      <c r="H104" t="s">
        <v>139</v>
      </c>
    </row>
    <row r="105" spans="1:9" hidden="1" x14ac:dyDescent="0.25">
      <c r="A105">
        <v>96</v>
      </c>
      <c r="B105" t="s">
        <v>954</v>
      </c>
      <c r="C105">
        <v>6</v>
      </c>
      <c r="D105" t="s">
        <v>139</v>
      </c>
      <c r="E105" t="s">
        <v>955</v>
      </c>
      <c r="F105" t="b">
        <v>1</v>
      </c>
      <c r="G105" t="s">
        <v>935</v>
      </c>
      <c r="H105" t="s">
        <v>139</v>
      </c>
    </row>
    <row r="106" spans="1:9" hidden="1" x14ac:dyDescent="0.25">
      <c r="A106">
        <v>97</v>
      </c>
      <c r="B106" t="s">
        <v>231</v>
      </c>
      <c r="C106" t="s">
        <v>139</v>
      </c>
      <c r="D106" t="s">
        <v>139</v>
      </c>
      <c r="E106" t="s">
        <v>139</v>
      </c>
      <c r="F106" t="s">
        <v>139</v>
      </c>
      <c r="G106" t="s">
        <v>139</v>
      </c>
      <c r="H106" t="s">
        <v>139</v>
      </c>
    </row>
    <row r="107" spans="1:9" hidden="1" x14ac:dyDescent="0.25">
      <c r="A107">
        <v>98</v>
      </c>
      <c r="B107" t="s">
        <v>956</v>
      </c>
      <c r="C107">
        <v>6</v>
      </c>
      <c r="D107" t="s">
        <v>139</v>
      </c>
      <c r="E107" t="s">
        <v>957</v>
      </c>
      <c r="F107" t="s">
        <v>139</v>
      </c>
      <c r="G107" t="s">
        <v>935</v>
      </c>
      <c r="H107" t="s">
        <v>139</v>
      </c>
    </row>
    <row r="108" spans="1:9" hidden="1" x14ac:dyDescent="0.25">
      <c r="A108">
        <v>99</v>
      </c>
      <c r="B108" t="s">
        <v>958</v>
      </c>
      <c r="C108">
        <v>6</v>
      </c>
      <c r="D108" t="s">
        <v>139</v>
      </c>
      <c r="E108" t="s">
        <v>959</v>
      </c>
      <c r="F108" t="b">
        <v>1</v>
      </c>
      <c r="G108" t="s">
        <v>935</v>
      </c>
      <c r="H108" t="s">
        <v>139</v>
      </c>
    </row>
    <row r="109" spans="1:9" hidden="1" x14ac:dyDescent="0.25">
      <c r="A109">
        <v>100</v>
      </c>
      <c r="B109" t="s">
        <v>239</v>
      </c>
      <c r="C109" t="s">
        <v>139</v>
      </c>
      <c r="D109" t="s">
        <v>139</v>
      </c>
      <c r="E109" t="s">
        <v>139</v>
      </c>
      <c r="F109" t="s">
        <v>139</v>
      </c>
      <c r="G109" t="s">
        <v>139</v>
      </c>
      <c r="H109" t="s">
        <v>139</v>
      </c>
    </row>
    <row r="110" spans="1:9" hidden="1" x14ac:dyDescent="0.25">
      <c r="A110">
        <v>101</v>
      </c>
      <c r="B110" t="s">
        <v>960</v>
      </c>
      <c r="C110">
        <v>6</v>
      </c>
      <c r="D110" t="s">
        <v>139</v>
      </c>
      <c r="E110" t="s">
        <v>961</v>
      </c>
      <c r="F110" t="s">
        <v>139</v>
      </c>
      <c r="G110" t="s">
        <v>935</v>
      </c>
      <c r="H110" t="s">
        <v>139</v>
      </c>
    </row>
    <row r="111" spans="1:9" x14ac:dyDescent="0.25">
      <c r="A111">
        <v>102</v>
      </c>
      <c r="B111" t="s">
        <v>962</v>
      </c>
      <c r="C111">
        <v>6</v>
      </c>
      <c r="D111" t="s">
        <v>139</v>
      </c>
      <c r="E111" t="s">
        <v>963</v>
      </c>
      <c r="F111" t="b">
        <v>1</v>
      </c>
      <c r="G111" t="s">
        <v>964</v>
      </c>
      <c r="H111" t="s">
        <v>57</v>
      </c>
      <c r="I111">
        <f>_xlfn.XLOOKUP(H111,'SO-DIMM-i9'!A:A,'SO-DIMM-i9'!B:B,_xlfn.XLOOKUP(H111,'SO-DIMM-i9'!H:H,'SO-DIMM-i9'!G:G,""))</f>
        <v>72</v>
      </c>
    </row>
    <row r="112" spans="1:9" hidden="1" x14ac:dyDescent="0.25">
      <c r="A112">
        <v>103</v>
      </c>
      <c r="B112" t="s">
        <v>231</v>
      </c>
      <c r="C112" t="s">
        <v>139</v>
      </c>
      <c r="D112" t="s">
        <v>139</v>
      </c>
      <c r="E112" t="s">
        <v>139</v>
      </c>
      <c r="F112" t="s">
        <v>139</v>
      </c>
      <c r="G112" t="s">
        <v>139</v>
      </c>
      <c r="H112" t="s">
        <v>139</v>
      </c>
    </row>
    <row r="113" spans="1:9" x14ac:dyDescent="0.25">
      <c r="A113">
        <v>104</v>
      </c>
      <c r="B113" t="s">
        <v>965</v>
      </c>
      <c r="C113">
        <v>6</v>
      </c>
      <c r="D113" t="s">
        <v>139</v>
      </c>
      <c r="E113" t="s">
        <v>966</v>
      </c>
      <c r="F113" t="s">
        <v>139</v>
      </c>
      <c r="G113" t="s">
        <v>964</v>
      </c>
      <c r="H113" t="s">
        <v>55</v>
      </c>
      <c r="I113">
        <f>_xlfn.XLOOKUP(H113,'SO-DIMM-i9'!A:A,'SO-DIMM-i9'!B:B,_xlfn.XLOOKUP(H113,'SO-DIMM-i9'!H:H,'SO-DIMM-i9'!G:G,""))</f>
        <v>70</v>
      </c>
    </row>
    <row r="114" spans="1:9" hidden="1" x14ac:dyDescent="0.25">
      <c r="A114">
        <v>105</v>
      </c>
      <c r="B114" t="s">
        <v>967</v>
      </c>
      <c r="C114">
        <v>6</v>
      </c>
      <c r="D114" t="s">
        <v>139</v>
      </c>
      <c r="E114" t="s">
        <v>968</v>
      </c>
      <c r="F114" t="b">
        <v>1</v>
      </c>
      <c r="G114" t="s">
        <v>964</v>
      </c>
      <c r="H114" t="s">
        <v>285</v>
      </c>
      <c r="I114" t="str">
        <f>_xlfn.XLOOKUP(H114,'SO-DIMM-i9'!A:A,'SO-DIMM-i9'!B:B,_xlfn.XLOOKUP(H114,'SO-DIMM-i9'!H:H,'SO-DIMM-i9'!G:G,""))</f>
        <v/>
      </c>
    </row>
    <row r="115" spans="1:9" hidden="1" x14ac:dyDescent="0.25">
      <c r="A115">
        <v>106</v>
      </c>
      <c r="B115" t="s">
        <v>239</v>
      </c>
      <c r="C115" t="s">
        <v>139</v>
      </c>
      <c r="D115" t="s">
        <v>139</v>
      </c>
      <c r="E115" t="s">
        <v>139</v>
      </c>
      <c r="F115" t="s">
        <v>139</v>
      </c>
      <c r="G115" t="s">
        <v>139</v>
      </c>
      <c r="H115" t="s">
        <v>139</v>
      </c>
    </row>
    <row r="116" spans="1:9" hidden="1" x14ac:dyDescent="0.25">
      <c r="A116">
        <v>107</v>
      </c>
      <c r="B116" t="s">
        <v>969</v>
      </c>
      <c r="C116">
        <v>6</v>
      </c>
      <c r="D116" t="s">
        <v>139</v>
      </c>
      <c r="E116" t="s">
        <v>970</v>
      </c>
      <c r="F116" t="s">
        <v>139</v>
      </c>
      <c r="G116" t="s">
        <v>964</v>
      </c>
      <c r="H116" t="s">
        <v>288</v>
      </c>
      <c r="I116" t="str">
        <f>_xlfn.XLOOKUP(H116,'SO-DIMM-i9'!A:A,'SO-DIMM-i9'!B:B,_xlfn.XLOOKUP(H116,'SO-DIMM-i9'!H:H,'SO-DIMM-i9'!G:G,""))</f>
        <v/>
      </c>
    </row>
    <row r="117" spans="1:9" x14ac:dyDescent="0.25">
      <c r="A117">
        <v>108</v>
      </c>
      <c r="B117" t="s">
        <v>971</v>
      </c>
      <c r="C117">
        <v>6</v>
      </c>
      <c r="D117" t="s">
        <v>139</v>
      </c>
      <c r="E117" t="s">
        <v>972</v>
      </c>
      <c r="F117" t="b">
        <v>1</v>
      </c>
      <c r="G117" t="s">
        <v>964</v>
      </c>
      <c r="H117" t="s">
        <v>45</v>
      </c>
      <c r="I117">
        <f>_xlfn.XLOOKUP(H117,'SO-DIMM-i9'!A:A,'SO-DIMM-i9'!B:B,_xlfn.XLOOKUP(H117,'SO-DIMM-i9'!H:H,'SO-DIMM-i9'!G:G,""))</f>
        <v>60</v>
      </c>
    </row>
    <row r="118" spans="1:9" hidden="1" x14ac:dyDescent="0.25">
      <c r="A118">
        <v>109</v>
      </c>
      <c r="B118" t="s">
        <v>156</v>
      </c>
      <c r="C118" t="s">
        <v>139</v>
      </c>
      <c r="D118" t="s">
        <v>139</v>
      </c>
      <c r="E118" t="s">
        <v>139</v>
      </c>
      <c r="F118" t="s">
        <v>139</v>
      </c>
      <c r="G118" t="s">
        <v>139</v>
      </c>
      <c r="H118" t="s">
        <v>139</v>
      </c>
    </row>
    <row r="119" spans="1:9" hidden="1" x14ac:dyDescent="0.25">
      <c r="A119">
        <v>110</v>
      </c>
      <c r="B119" t="s">
        <v>973</v>
      </c>
      <c r="C119">
        <v>6</v>
      </c>
      <c r="D119" t="s">
        <v>139</v>
      </c>
      <c r="E119" t="s">
        <v>974</v>
      </c>
      <c r="F119" t="s">
        <v>139</v>
      </c>
      <c r="G119" t="s">
        <v>964</v>
      </c>
      <c r="H119" t="s">
        <v>293</v>
      </c>
      <c r="I119" t="str">
        <f>_xlfn.XLOOKUP(H119,'SO-DIMM-i9'!A:A,'SO-DIMM-i9'!B:B,_xlfn.XLOOKUP(H119,'SO-DIMM-i9'!H:H,'SO-DIMM-i9'!G:G,""))</f>
        <v/>
      </c>
    </row>
    <row r="120" spans="1:9" x14ac:dyDescent="0.25">
      <c r="A120">
        <v>111</v>
      </c>
      <c r="B120" t="s">
        <v>975</v>
      </c>
      <c r="C120">
        <v>6</v>
      </c>
      <c r="D120" t="s">
        <v>139</v>
      </c>
      <c r="E120" t="s">
        <v>976</v>
      </c>
      <c r="F120" t="b">
        <v>1</v>
      </c>
      <c r="G120" t="s">
        <v>964</v>
      </c>
      <c r="H120" t="s">
        <v>49</v>
      </c>
      <c r="I120">
        <f>_xlfn.XLOOKUP(H120,'SO-DIMM-i9'!A:A,'SO-DIMM-i9'!B:B,_xlfn.XLOOKUP(H120,'SO-DIMM-i9'!H:H,'SO-DIMM-i9'!G:G,""))</f>
        <v>64</v>
      </c>
    </row>
    <row r="121" spans="1:9" hidden="1" x14ac:dyDescent="0.25">
      <c r="A121">
        <v>112</v>
      </c>
      <c r="B121" t="s">
        <v>161</v>
      </c>
      <c r="C121" t="s">
        <v>139</v>
      </c>
      <c r="D121" t="s">
        <v>139</v>
      </c>
      <c r="E121" t="s">
        <v>139</v>
      </c>
      <c r="F121" t="s">
        <v>139</v>
      </c>
      <c r="G121" t="s">
        <v>139</v>
      </c>
      <c r="H121" t="s">
        <v>139</v>
      </c>
    </row>
    <row r="122" spans="1:9" x14ac:dyDescent="0.25">
      <c r="A122">
        <v>113</v>
      </c>
      <c r="B122" t="s">
        <v>977</v>
      </c>
      <c r="C122">
        <v>6</v>
      </c>
      <c r="D122" t="s">
        <v>139</v>
      </c>
      <c r="E122" t="s">
        <v>978</v>
      </c>
      <c r="F122" t="s">
        <v>139</v>
      </c>
      <c r="G122" t="s">
        <v>964</v>
      </c>
      <c r="H122" t="s">
        <v>298</v>
      </c>
      <c r="I122">
        <f>_xlfn.XLOOKUP(H122,'SO-DIMM-i9'!A:A,'SO-DIMM-i9'!B:B,_xlfn.XLOOKUP(H122,'SO-DIMM-i9'!H:H,'SO-DIMM-i9'!G:G,""))</f>
        <v>41</v>
      </c>
    </row>
    <row r="123" spans="1:9" x14ac:dyDescent="0.25">
      <c r="A123">
        <v>114</v>
      </c>
      <c r="B123" t="s">
        <v>979</v>
      </c>
      <c r="C123">
        <v>6</v>
      </c>
      <c r="D123" t="s">
        <v>139</v>
      </c>
      <c r="E123" t="s">
        <v>980</v>
      </c>
      <c r="F123" t="b">
        <v>1</v>
      </c>
      <c r="G123" t="s">
        <v>981</v>
      </c>
      <c r="H123" t="s">
        <v>43</v>
      </c>
      <c r="I123">
        <f>_xlfn.XLOOKUP(H123,'SO-DIMM-i9'!A:A,'SO-DIMM-i9'!B:B,_xlfn.XLOOKUP(H123,'SO-DIMM-i9'!H:H,'SO-DIMM-i9'!G:G,""))</f>
        <v>58</v>
      </c>
    </row>
    <row r="124" spans="1:9" hidden="1" x14ac:dyDescent="0.25">
      <c r="A124">
        <v>115</v>
      </c>
      <c r="B124" t="s">
        <v>167</v>
      </c>
      <c r="C124" t="s">
        <v>139</v>
      </c>
      <c r="D124" t="s">
        <v>139</v>
      </c>
      <c r="E124" t="s">
        <v>139</v>
      </c>
      <c r="F124" t="s">
        <v>139</v>
      </c>
      <c r="G124" t="s">
        <v>139</v>
      </c>
      <c r="H124" t="s">
        <v>139</v>
      </c>
    </row>
    <row r="125" spans="1:9" hidden="1" x14ac:dyDescent="0.25">
      <c r="A125">
        <v>116</v>
      </c>
      <c r="B125" t="s">
        <v>982</v>
      </c>
      <c r="C125">
        <v>6</v>
      </c>
      <c r="D125" t="s">
        <v>139</v>
      </c>
      <c r="E125" t="s">
        <v>983</v>
      </c>
      <c r="F125" t="s">
        <v>139</v>
      </c>
      <c r="G125" t="s">
        <v>964</v>
      </c>
      <c r="H125" t="s">
        <v>304</v>
      </c>
      <c r="I125" t="str">
        <f>_xlfn.XLOOKUP(H125,'SO-DIMM-i9'!A:A,'SO-DIMM-i9'!B:B,_xlfn.XLOOKUP(H125,'SO-DIMM-i9'!H:H,'SO-DIMM-i9'!G:G,""))</f>
        <v/>
      </c>
    </row>
    <row r="126" spans="1:9" x14ac:dyDescent="0.25">
      <c r="A126">
        <v>117</v>
      </c>
      <c r="B126" t="s">
        <v>984</v>
      </c>
      <c r="C126">
        <v>6</v>
      </c>
      <c r="D126" t="s">
        <v>139</v>
      </c>
      <c r="E126" t="s">
        <v>985</v>
      </c>
      <c r="F126" t="b">
        <v>1</v>
      </c>
      <c r="G126" t="s">
        <v>986</v>
      </c>
      <c r="H126" t="s">
        <v>41</v>
      </c>
      <c r="I126">
        <f>_xlfn.XLOOKUP(H126,'SO-DIMM-i9'!A:A,'SO-DIMM-i9'!B:B,_xlfn.XLOOKUP(H126,'SO-DIMM-i9'!H:H,'SO-DIMM-i9'!G:G,""))</f>
        <v>54</v>
      </c>
    </row>
    <row r="127" spans="1:9" hidden="1" x14ac:dyDescent="0.25">
      <c r="A127">
        <v>118</v>
      </c>
      <c r="B127" t="s">
        <v>161</v>
      </c>
      <c r="C127" t="s">
        <v>139</v>
      </c>
      <c r="D127" t="s">
        <v>139</v>
      </c>
      <c r="E127" t="s">
        <v>139</v>
      </c>
      <c r="F127" t="s">
        <v>139</v>
      </c>
      <c r="G127" t="s">
        <v>139</v>
      </c>
      <c r="H127" t="s">
        <v>139</v>
      </c>
    </row>
    <row r="128" spans="1:9" hidden="1" x14ac:dyDescent="0.25">
      <c r="A128">
        <v>119</v>
      </c>
      <c r="B128" t="s">
        <v>987</v>
      </c>
      <c r="C128">
        <v>6</v>
      </c>
      <c r="D128" t="s">
        <v>139</v>
      </c>
      <c r="E128" t="s">
        <v>988</v>
      </c>
      <c r="F128" t="s">
        <v>139</v>
      </c>
      <c r="G128" t="s">
        <v>964</v>
      </c>
      <c r="H128" t="s">
        <v>310</v>
      </c>
      <c r="I128" t="str">
        <f>_xlfn.XLOOKUP(H128,'SO-DIMM-i9'!A:A,'SO-DIMM-i9'!B:B,_xlfn.XLOOKUP(H128,'SO-DIMM-i9'!H:H,'SO-DIMM-i9'!G:G,""))</f>
        <v/>
      </c>
    </row>
    <row r="129" spans="1:9" hidden="1" x14ac:dyDescent="0.25">
      <c r="A129">
        <v>120</v>
      </c>
      <c r="B129" t="s">
        <v>989</v>
      </c>
      <c r="C129">
        <v>6</v>
      </c>
      <c r="D129" t="s">
        <v>139</v>
      </c>
      <c r="E129" t="s">
        <v>990</v>
      </c>
      <c r="F129" t="b">
        <v>1</v>
      </c>
      <c r="G129" t="s">
        <v>964</v>
      </c>
      <c r="H129" t="s">
        <v>313</v>
      </c>
      <c r="I129" t="str">
        <f>_xlfn.XLOOKUP(H129,'SO-DIMM-i9'!A:A,'SO-DIMM-i9'!B:B,_xlfn.XLOOKUP(H129,'SO-DIMM-i9'!H:H,'SO-DIMM-i9'!G:G,""))</f>
        <v/>
      </c>
    </row>
    <row r="130" spans="1:9" hidden="1" x14ac:dyDescent="0.25">
      <c r="A130">
        <v>121</v>
      </c>
      <c r="B130" t="s">
        <v>231</v>
      </c>
      <c r="C130" t="s">
        <v>139</v>
      </c>
      <c r="D130" t="s">
        <v>139</v>
      </c>
      <c r="E130" t="s">
        <v>139</v>
      </c>
      <c r="F130" t="s">
        <v>139</v>
      </c>
      <c r="G130" t="s">
        <v>139</v>
      </c>
      <c r="H130" t="s">
        <v>139</v>
      </c>
    </row>
    <row r="131" spans="1:9" hidden="1" x14ac:dyDescent="0.25">
      <c r="A131">
        <v>122</v>
      </c>
      <c r="B131" t="s">
        <v>991</v>
      </c>
      <c r="C131">
        <v>6</v>
      </c>
      <c r="D131" t="s">
        <v>139</v>
      </c>
      <c r="E131" t="s">
        <v>992</v>
      </c>
      <c r="F131" t="b">
        <v>1</v>
      </c>
      <c r="G131" t="s">
        <v>964</v>
      </c>
      <c r="H131" t="s">
        <v>316</v>
      </c>
      <c r="I131" t="str">
        <f>_xlfn.XLOOKUP(H131,'SO-DIMM-i9'!A:A,'SO-DIMM-i9'!B:B,_xlfn.XLOOKUP(H131,'SO-DIMM-i9'!H:H,'SO-DIMM-i9'!G:G,""))</f>
        <v/>
      </c>
    </row>
    <row r="132" spans="1:9" hidden="1" x14ac:dyDescent="0.25">
      <c r="A132">
        <v>123</v>
      </c>
      <c r="B132" t="s">
        <v>239</v>
      </c>
      <c r="C132" t="s">
        <v>139</v>
      </c>
      <c r="D132" t="s">
        <v>139</v>
      </c>
      <c r="E132" t="s">
        <v>139</v>
      </c>
      <c r="F132" t="s">
        <v>139</v>
      </c>
      <c r="G132" t="s">
        <v>139</v>
      </c>
      <c r="H132" t="s">
        <v>139</v>
      </c>
    </row>
    <row r="133" spans="1:9" hidden="1" x14ac:dyDescent="0.25">
      <c r="A133">
        <v>124</v>
      </c>
      <c r="B133" t="s">
        <v>993</v>
      </c>
      <c r="C133">
        <v>6</v>
      </c>
      <c r="D133" t="s">
        <v>318</v>
      </c>
      <c r="E133" t="s">
        <v>994</v>
      </c>
      <c r="F133" t="s">
        <v>139</v>
      </c>
      <c r="G133" t="s">
        <v>964</v>
      </c>
      <c r="H133" t="s">
        <v>320</v>
      </c>
      <c r="I133" t="str">
        <f>_xlfn.XLOOKUP(H133,'SO-DIMM-i9'!A:A,'SO-DIMM-i9'!B:B,_xlfn.XLOOKUP(H133,'SO-DIMM-i9'!H:H,'SO-DIMM-i9'!G:G,""))</f>
        <v/>
      </c>
    </row>
    <row r="134" spans="1:9" hidden="1" x14ac:dyDescent="0.25">
      <c r="A134">
        <v>125</v>
      </c>
      <c r="B134" t="s">
        <v>995</v>
      </c>
      <c r="C134">
        <v>6</v>
      </c>
      <c r="D134" t="s">
        <v>322</v>
      </c>
      <c r="E134" t="s">
        <v>996</v>
      </c>
      <c r="F134" t="s">
        <v>139</v>
      </c>
      <c r="G134" t="s">
        <v>964</v>
      </c>
      <c r="H134" t="s">
        <v>324</v>
      </c>
      <c r="I134" t="str">
        <f>_xlfn.XLOOKUP(H134,'SO-DIMM-i9'!A:A,'SO-DIMM-i9'!B:B,_xlfn.XLOOKUP(H134,'SO-DIMM-i9'!H:H,'SO-DIMM-i9'!G:G,""))</f>
        <v/>
      </c>
    </row>
    <row r="135" spans="1:9" hidden="1" x14ac:dyDescent="0.25">
      <c r="A135">
        <v>126</v>
      </c>
      <c r="B135" t="s">
        <v>12</v>
      </c>
      <c r="C135" t="s">
        <v>139</v>
      </c>
      <c r="D135" t="s">
        <v>139</v>
      </c>
      <c r="E135" t="s">
        <v>139</v>
      </c>
      <c r="F135" t="s">
        <v>139</v>
      </c>
      <c r="G135" t="s">
        <v>139</v>
      </c>
      <c r="H135" t="s">
        <v>139</v>
      </c>
    </row>
    <row r="136" spans="1:9" hidden="1" x14ac:dyDescent="0.25">
      <c r="A136">
        <v>127</v>
      </c>
      <c r="B136" t="s">
        <v>12</v>
      </c>
      <c r="C136" t="s">
        <v>139</v>
      </c>
      <c r="D136" t="s">
        <v>139</v>
      </c>
      <c r="E136" t="s">
        <v>139</v>
      </c>
      <c r="F136" t="s">
        <v>139</v>
      </c>
      <c r="G136" t="s">
        <v>139</v>
      </c>
      <c r="H136" t="s">
        <v>139</v>
      </c>
    </row>
    <row r="137" spans="1:9" hidden="1" x14ac:dyDescent="0.25">
      <c r="A137">
        <v>128</v>
      </c>
      <c r="B137" t="s">
        <v>4</v>
      </c>
      <c r="C137" t="s">
        <v>139</v>
      </c>
      <c r="D137" t="s">
        <v>139</v>
      </c>
      <c r="E137" t="s">
        <v>139</v>
      </c>
      <c r="F137" t="s">
        <v>139</v>
      </c>
      <c r="G137" t="s">
        <v>139</v>
      </c>
      <c r="H137" t="s">
        <v>139</v>
      </c>
    </row>
    <row r="138" spans="1:9" hidden="1" x14ac:dyDescent="0.25">
      <c r="A138">
        <v>129</v>
      </c>
      <c r="B138" t="s">
        <v>167</v>
      </c>
      <c r="C138" t="s">
        <v>139</v>
      </c>
      <c r="D138" t="s">
        <v>139</v>
      </c>
      <c r="E138" t="s">
        <v>139</v>
      </c>
      <c r="F138" t="s">
        <v>139</v>
      </c>
      <c r="G138" t="s">
        <v>139</v>
      </c>
      <c r="H138" t="s">
        <v>139</v>
      </c>
    </row>
    <row r="139" spans="1:9" hidden="1" x14ac:dyDescent="0.25">
      <c r="A139">
        <v>130</v>
      </c>
      <c r="B139" t="s">
        <v>167</v>
      </c>
      <c r="C139" t="s">
        <v>139</v>
      </c>
      <c r="D139" t="s">
        <v>139</v>
      </c>
      <c r="E139" t="s">
        <v>139</v>
      </c>
      <c r="F139" t="s">
        <v>139</v>
      </c>
      <c r="G139" t="s">
        <v>139</v>
      </c>
      <c r="H139" t="s">
        <v>139</v>
      </c>
    </row>
    <row r="140" spans="1:9" hidden="1" x14ac:dyDescent="0.25">
      <c r="A140">
        <v>131</v>
      </c>
      <c r="B140" t="s">
        <v>161</v>
      </c>
      <c r="C140" t="s">
        <v>139</v>
      </c>
      <c r="D140" t="s">
        <v>139</v>
      </c>
      <c r="E140" t="s">
        <v>139</v>
      </c>
      <c r="F140" t="s">
        <v>139</v>
      </c>
      <c r="G140" t="s">
        <v>139</v>
      </c>
      <c r="H140" t="s">
        <v>139</v>
      </c>
    </row>
    <row r="141" spans="1:9" x14ac:dyDescent="0.25">
      <c r="A141">
        <v>132</v>
      </c>
      <c r="B141" t="s">
        <v>325</v>
      </c>
      <c r="C141">
        <v>8</v>
      </c>
      <c r="D141" t="s">
        <v>326</v>
      </c>
      <c r="E141" t="s">
        <v>327</v>
      </c>
      <c r="F141" t="s">
        <v>139</v>
      </c>
      <c r="G141" t="s">
        <v>139</v>
      </c>
      <c r="H141" t="s">
        <v>33</v>
      </c>
      <c r="I141">
        <f>_xlfn.XLOOKUP(H141,'SO-DIMM-i9'!A:A,'SO-DIMM-i9'!B:B,_xlfn.XLOOKUP(H141,'SO-DIMM-i9'!H:H,'SO-DIMM-i9'!G:G,""))</f>
        <v>42</v>
      </c>
    </row>
    <row r="142" spans="1:9" x14ac:dyDescent="0.25">
      <c r="A142">
        <v>133</v>
      </c>
      <c r="B142" t="s">
        <v>328</v>
      </c>
      <c r="C142">
        <v>8</v>
      </c>
      <c r="D142" t="s">
        <v>329</v>
      </c>
      <c r="E142" t="s">
        <v>330</v>
      </c>
      <c r="F142" t="s">
        <v>139</v>
      </c>
      <c r="G142" t="s">
        <v>139</v>
      </c>
      <c r="H142" t="s">
        <v>35</v>
      </c>
      <c r="I142">
        <f>_xlfn.XLOOKUP(H142,'SO-DIMM-i9'!A:A,'SO-DIMM-i9'!B:B,_xlfn.XLOOKUP(H142,'SO-DIMM-i9'!H:H,'SO-DIMM-i9'!G:G,""))</f>
        <v>46</v>
      </c>
    </row>
    <row r="143" spans="1:9" hidden="1" x14ac:dyDescent="0.25">
      <c r="A143">
        <v>134</v>
      </c>
      <c r="B143" t="s">
        <v>167</v>
      </c>
      <c r="C143" t="s">
        <v>139</v>
      </c>
      <c r="D143" t="s">
        <v>139</v>
      </c>
      <c r="E143" t="s">
        <v>139</v>
      </c>
      <c r="F143" t="s">
        <v>139</v>
      </c>
      <c r="G143" t="s">
        <v>139</v>
      </c>
      <c r="H143" t="s">
        <v>139</v>
      </c>
    </row>
    <row r="144" spans="1:9" x14ac:dyDescent="0.25">
      <c r="A144">
        <v>135</v>
      </c>
      <c r="B144" t="s">
        <v>331</v>
      </c>
      <c r="C144">
        <v>8</v>
      </c>
      <c r="D144" t="s">
        <v>332</v>
      </c>
      <c r="E144" t="s">
        <v>333</v>
      </c>
      <c r="F144" t="s">
        <v>139</v>
      </c>
      <c r="G144" t="s">
        <v>139</v>
      </c>
      <c r="H144" t="s">
        <v>34</v>
      </c>
      <c r="I144">
        <f>_xlfn.XLOOKUP(H144,'SO-DIMM-i9'!A:A,'SO-DIMM-i9'!B:B,_xlfn.XLOOKUP(H144,'SO-DIMM-i9'!H:H,'SO-DIMM-i9'!G:G,""))</f>
        <v>44</v>
      </c>
    </row>
    <row r="145" spans="1:9" x14ac:dyDescent="0.25">
      <c r="A145">
        <v>136</v>
      </c>
      <c r="B145" t="s">
        <v>334</v>
      </c>
      <c r="C145">
        <v>8</v>
      </c>
      <c r="D145" t="s">
        <v>335</v>
      </c>
      <c r="E145" t="s">
        <v>336</v>
      </c>
      <c r="F145" t="s">
        <v>139</v>
      </c>
      <c r="G145" t="s">
        <v>139</v>
      </c>
      <c r="H145" t="s">
        <v>40</v>
      </c>
      <c r="I145">
        <f>_xlfn.XLOOKUP(H145,'SO-DIMM-i9'!A:A,'SO-DIMM-i9'!B:B,_xlfn.XLOOKUP(H145,'SO-DIMM-i9'!H:H,'SO-DIMM-i9'!G:G,""))</f>
        <v>52</v>
      </c>
    </row>
    <row r="146" spans="1:9" hidden="1" x14ac:dyDescent="0.25">
      <c r="A146">
        <v>137</v>
      </c>
      <c r="B146" t="s">
        <v>161</v>
      </c>
      <c r="C146" t="s">
        <v>139</v>
      </c>
      <c r="D146" t="s">
        <v>139</v>
      </c>
      <c r="E146" t="s">
        <v>139</v>
      </c>
      <c r="F146" t="s">
        <v>139</v>
      </c>
      <c r="G146" t="s">
        <v>139</v>
      </c>
      <c r="H146" t="s">
        <v>139</v>
      </c>
    </row>
    <row r="147" spans="1:9" x14ac:dyDescent="0.25">
      <c r="A147">
        <v>138</v>
      </c>
      <c r="B147" t="s">
        <v>337</v>
      </c>
      <c r="C147">
        <v>8</v>
      </c>
      <c r="D147" t="s">
        <v>338</v>
      </c>
      <c r="E147" t="s">
        <v>339</v>
      </c>
      <c r="F147" t="s">
        <v>139</v>
      </c>
      <c r="G147" t="s">
        <v>139</v>
      </c>
      <c r="H147" t="s">
        <v>38</v>
      </c>
      <c r="I147">
        <f>_xlfn.XLOOKUP(H147,'SO-DIMM-i9'!A:A,'SO-DIMM-i9'!B:B,_xlfn.XLOOKUP(H147,'SO-DIMM-i9'!H:H,'SO-DIMM-i9'!G:G,""))</f>
        <v>50</v>
      </c>
    </row>
    <row r="148" spans="1:9" hidden="1" x14ac:dyDescent="0.25">
      <c r="A148">
        <v>139</v>
      </c>
      <c r="B148" t="s">
        <v>340</v>
      </c>
      <c r="C148">
        <v>8</v>
      </c>
      <c r="D148" t="s">
        <v>341</v>
      </c>
      <c r="E148" t="s">
        <v>342</v>
      </c>
      <c r="F148" t="s">
        <v>139</v>
      </c>
      <c r="G148" t="s">
        <v>139</v>
      </c>
      <c r="H148" t="s">
        <v>343</v>
      </c>
      <c r="I148" t="str">
        <f>_xlfn.XLOOKUP(H148,'SO-DIMM-i9'!A:A,'SO-DIMM-i9'!B:B,_xlfn.XLOOKUP(H148,'SO-DIMM-i9'!H:H,'SO-DIMM-i9'!G:G,""))</f>
        <v/>
      </c>
    </row>
    <row r="149" spans="1:9" hidden="1" x14ac:dyDescent="0.25">
      <c r="A149">
        <v>140</v>
      </c>
      <c r="B149" t="s">
        <v>344</v>
      </c>
      <c r="C149" t="s">
        <v>139</v>
      </c>
      <c r="D149" t="s">
        <v>139</v>
      </c>
      <c r="E149" t="s">
        <v>139</v>
      </c>
      <c r="F149" t="s">
        <v>139</v>
      </c>
      <c r="G149" t="s">
        <v>139</v>
      </c>
      <c r="H149" t="s">
        <v>139</v>
      </c>
    </row>
    <row r="150" spans="1:9" x14ac:dyDescent="0.25">
      <c r="A150">
        <v>141</v>
      </c>
      <c r="B150" t="s">
        <v>345</v>
      </c>
      <c r="C150">
        <v>8</v>
      </c>
      <c r="D150" t="s">
        <v>346</v>
      </c>
      <c r="E150" t="s">
        <v>347</v>
      </c>
      <c r="F150" t="s">
        <v>139</v>
      </c>
      <c r="G150" t="s">
        <v>139</v>
      </c>
      <c r="H150" t="s">
        <v>36</v>
      </c>
      <c r="I150">
        <f>_xlfn.XLOOKUP(H150,'SO-DIMM-i9'!A:A,'SO-DIMM-i9'!B:B,_xlfn.XLOOKUP(H150,'SO-DIMM-i9'!H:H,'SO-DIMM-i9'!G:G,""))</f>
        <v>48</v>
      </c>
    </row>
    <row r="151" spans="1:9" hidden="1" x14ac:dyDescent="0.25">
      <c r="A151">
        <v>142</v>
      </c>
      <c r="B151" t="s">
        <v>348</v>
      </c>
      <c r="C151">
        <v>8</v>
      </c>
      <c r="D151" t="s">
        <v>349</v>
      </c>
      <c r="E151" t="s">
        <v>350</v>
      </c>
      <c r="F151" t="s">
        <v>139</v>
      </c>
      <c r="G151" t="s">
        <v>139</v>
      </c>
      <c r="H151" t="s">
        <v>351</v>
      </c>
      <c r="I151" t="str">
        <f>_xlfn.XLOOKUP(H151,'SO-DIMM-i9'!A:A,'SO-DIMM-i9'!B:B,_xlfn.XLOOKUP(H151,'SO-DIMM-i9'!H:H,'SO-DIMM-i9'!G:G,""))</f>
        <v/>
      </c>
    </row>
    <row r="152" spans="1:9" hidden="1" x14ac:dyDescent="0.25">
      <c r="A152">
        <v>143</v>
      </c>
      <c r="B152" t="s">
        <v>352</v>
      </c>
      <c r="C152" t="s">
        <v>139</v>
      </c>
      <c r="D152" t="s">
        <v>139</v>
      </c>
      <c r="E152" t="s">
        <v>139</v>
      </c>
      <c r="F152" t="s">
        <v>139</v>
      </c>
      <c r="G152" t="s">
        <v>139</v>
      </c>
      <c r="H152" t="s">
        <v>139</v>
      </c>
    </row>
    <row r="153" spans="1:9" x14ac:dyDescent="0.25">
      <c r="A153">
        <v>144</v>
      </c>
      <c r="B153" t="s">
        <v>353</v>
      </c>
      <c r="C153">
        <v>8</v>
      </c>
      <c r="D153" t="s">
        <v>354</v>
      </c>
      <c r="E153" t="s">
        <v>355</v>
      </c>
      <c r="F153" t="s">
        <v>139</v>
      </c>
      <c r="G153" t="s">
        <v>139</v>
      </c>
      <c r="H153" t="s">
        <v>47</v>
      </c>
      <c r="I153">
        <f>_xlfn.XLOOKUP(H153,'SO-DIMM-i9'!A:A,'SO-DIMM-i9'!B:B,_xlfn.XLOOKUP(H153,'SO-DIMM-i9'!H:H,'SO-DIMM-i9'!G:G,""))</f>
        <v>62</v>
      </c>
    </row>
    <row r="154" spans="1:9" hidden="1" x14ac:dyDescent="0.25">
      <c r="A154">
        <v>145</v>
      </c>
      <c r="B154" t="s">
        <v>356</v>
      </c>
      <c r="C154">
        <v>8</v>
      </c>
      <c r="D154" t="s">
        <v>357</v>
      </c>
      <c r="E154" t="s">
        <v>358</v>
      </c>
      <c r="F154" t="s">
        <v>139</v>
      </c>
      <c r="G154" t="s">
        <v>139</v>
      </c>
      <c r="H154" t="s">
        <v>359</v>
      </c>
      <c r="I154" t="str">
        <f>_xlfn.XLOOKUP(H154,'SO-DIMM-i9'!A:A,'SO-DIMM-i9'!B:B,_xlfn.XLOOKUP(H154,'SO-DIMM-i9'!H:H,'SO-DIMM-i9'!G:G,""))</f>
        <v/>
      </c>
    </row>
    <row r="155" spans="1:9" hidden="1" x14ac:dyDescent="0.25">
      <c r="A155">
        <v>146</v>
      </c>
      <c r="B155" t="s">
        <v>344</v>
      </c>
      <c r="C155" t="s">
        <v>139</v>
      </c>
      <c r="D155" t="s">
        <v>139</v>
      </c>
      <c r="E155" t="s">
        <v>139</v>
      </c>
      <c r="F155" t="s">
        <v>139</v>
      </c>
      <c r="G155" t="s">
        <v>139</v>
      </c>
      <c r="H155" t="s">
        <v>139</v>
      </c>
    </row>
    <row r="156" spans="1:9" hidden="1" x14ac:dyDescent="0.25">
      <c r="A156">
        <v>147</v>
      </c>
      <c r="B156" t="s">
        <v>360</v>
      </c>
      <c r="C156">
        <v>8</v>
      </c>
      <c r="D156" t="s">
        <v>361</v>
      </c>
      <c r="E156" t="s">
        <v>362</v>
      </c>
      <c r="F156" t="s">
        <v>139</v>
      </c>
      <c r="G156" t="s">
        <v>139</v>
      </c>
      <c r="H156" t="s">
        <v>363</v>
      </c>
      <c r="I156" t="str">
        <f>_xlfn.XLOOKUP(H156,'SO-DIMM-i9'!A:A,'SO-DIMM-i9'!B:B,_xlfn.XLOOKUP(H156,'SO-DIMM-i9'!H:H,'SO-DIMM-i9'!G:G,""))</f>
        <v/>
      </c>
    </row>
    <row r="157" spans="1:9" x14ac:dyDescent="0.25">
      <c r="A157">
        <v>148</v>
      </c>
      <c r="B157" t="s">
        <v>364</v>
      </c>
      <c r="C157">
        <v>8</v>
      </c>
      <c r="D157" t="s">
        <v>365</v>
      </c>
      <c r="E157" t="s">
        <v>366</v>
      </c>
      <c r="F157" t="s">
        <v>139</v>
      </c>
      <c r="G157" t="s">
        <v>139</v>
      </c>
      <c r="H157" t="s">
        <v>53</v>
      </c>
      <c r="I157">
        <f>_xlfn.XLOOKUP(H157,'SO-DIMM-i9'!A:A,'SO-DIMM-i9'!B:B,_xlfn.XLOOKUP(H157,'SO-DIMM-i9'!H:H,'SO-DIMM-i9'!G:G,""))</f>
        <v>68</v>
      </c>
    </row>
    <row r="158" spans="1:9" hidden="1" x14ac:dyDescent="0.25">
      <c r="A158">
        <v>149</v>
      </c>
      <c r="B158" t="s">
        <v>352</v>
      </c>
      <c r="C158" t="s">
        <v>139</v>
      </c>
      <c r="D158" t="s">
        <v>139</v>
      </c>
      <c r="E158" t="s">
        <v>139</v>
      </c>
      <c r="F158" t="s">
        <v>139</v>
      </c>
      <c r="G158" t="s">
        <v>139</v>
      </c>
      <c r="H158" t="s">
        <v>139</v>
      </c>
    </row>
    <row r="159" spans="1:9" x14ac:dyDescent="0.25">
      <c r="A159">
        <v>150</v>
      </c>
      <c r="B159" t="s">
        <v>367</v>
      </c>
      <c r="C159">
        <v>8</v>
      </c>
      <c r="D159" t="s">
        <v>368</v>
      </c>
      <c r="E159" t="s">
        <v>139</v>
      </c>
      <c r="F159" t="s">
        <v>139</v>
      </c>
      <c r="G159" t="s">
        <v>139</v>
      </c>
      <c r="H159" t="s">
        <v>51</v>
      </c>
      <c r="I159">
        <f>_xlfn.XLOOKUP(H159,'SO-DIMM-i9'!A:A,'SO-DIMM-i9'!B:B,_xlfn.XLOOKUP(H159,'SO-DIMM-i9'!H:H,'SO-DIMM-i9'!G:G,""))</f>
        <v>66</v>
      </c>
    </row>
    <row r="160" spans="1:9" hidden="1" x14ac:dyDescent="0.25">
      <c r="A160">
        <v>151</v>
      </c>
      <c r="B160" t="s">
        <v>369</v>
      </c>
      <c r="C160">
        <v>8</v>
      </c>
      <c r="D160" t="s">
        <v>139</v>
      </c>
      <c r="E160" t="s">
        <v>139</v>
      </c>
      <c r="F160" t="s">
        <v>139</v>
      </c>
      <c r="G160" t="s">
        <v>139</v>
      </c>
      <c r="H160" t="s">
        <v>370</v>
      </c>
      <c r="I160" t="str">
        <f>_xlfn.XLOOKUP(H160,'SO-DIMM-i9'!A:A,'SO-DIMM-i9'!B:B,_xlfn.XLOOKUP(H160,'SO-DIMM-i9'!H:H,'SO-DIMM-i9'!G:G,""))</f>
        <v/>
      </c>
    </row>
    <row r="161" spans="1:9" hidden="1" x14ac:dyDescent="0.25">
      <c r="A161">
        <v>152</v>
      </c>
      <c r="B161" t="s">
        <v>156</v>
      </c>
      <c r="C161" t="s">
        <v>139</v>
      </c>
      <c r="D161" t="s">
        <v>139</v>
      </c>
      <c r="E161" t="s">
        <v>139</v>
      </c>
      <c r="F161" t="s">
        <v>139</v>
      </c>
      <c r="G161" t="s">
        <v>139</v>
      </c>
      <c r="H161" t="s">
        <v>139</v>
      </c>
    </row>
    <row r="162" spans="1:9" hidden="1" x14ac:dyDescent="0.25">
      <c r="A162">
        <v>153</v>
      </c>
      <c r="B162" t="s">
        <v>371</v>
      </c>
      <c r="C162">
        <v>8</v>
      </c>
      <c r="D162" t="s">
        <v>372</v>
      </c>
      <c r="E162" t="s">
        <v>139</v>
      </c>
      <c r="F162" t="s">
        <v>139</v>
      </c>
      <c r="G162" t="s">
        <v>139</v>
      </c>
      <c r="H162" t="s">
        <v>373</v>
      </c>
      <c r="I162" t="str">
        <f>_xlfn.XLOOKUP(H162,'SO-DIMM-i9'!A:A,'SO-DIMM-i9'!B:B,_xlfn.XLOOKUP(H162,'SO-DIMM-i9'!H:H,'SO-DIMM-i9'!G:G,""))</f>
        <v/>
      </c>
    </row>
    <row r="163" spans="1:9" hidden="1" x14ac:dyDescent="0.25">
      <c r="A163">
        <v>154</v>
      </c>
      <c r="B163" t="s">
        <v>374</v>
      </c>
      <c r="C163">
        <v>8</v>
      </c>
      <c r="D163" t="s">
        <v>139</v>
      </c>
      <c r="E163" t="s">
        <v>139</v>
      </c>
      <c r="F163" t="s">
        <v>139</v>
      </c>
      <c r="G163" t="s">
        <v>139</v>
      </c>
      <c r="H163" t="s">
        <v>375</v>
      </c>
      <c r="I163" t="str">
        <f>_xlfn.XLOOKUP(H163,'SO-DIMM-i9'!A:A,'SO-DIMM-i9'!B:B,_xlfn.XLOOKUP(H163,'SO-DIMM-i9'!H:H,'SO-DIMM-i9'!G:G,""))</f>
        <v/>
      </c>
    </row>
    <row r="164" spans="1:9" hidden="1" x14ac:dyDescent="0.25">
      <c r="A164">
        <v>155</v>
      </c>
      <c r="B164" t="s">
        <v>161</v>
      </c>
      <c r="C164" t="s">
        <v>139</v>
      </c>
      <c r="D164" t="s">
        <v>139</v>
      </c>
      <c r="E164" t="s">
        <v>139</v>
      </c>
      <c r="F164" t="s">
        <v>139</v>
      </c>
      <c r="G164" t="s">
        <v>139</v>
      </c>
      <c r="H164" t="s">
        <v>139</v>
      </c>
    </row>
    <row r="165" spans="1:9" hidden="1" x14ac:dyDescent="0.25">
      <c r="A165">
        <v>156</v>
      </c>
      <c r="B165" t="s">
        <v>376</v>
      </c>
      <c r="C165">
        <v>8</v>
      </c>
      <c r="D165" t="s">
        <v>139</v>
      </c>
      <c r="E165" t="s">
        <v>139</v>
      </c>
      <c r="F165" t="s">
        <v>139</v>
      </c>
      <c r="G165" t="s">
        <v>139</v>
      </c>
      <c r="H165" t="s">
        <v>377</v>
      </c>
      <c r="I165" t="str">
        <f>_xlfn.XLOOKUP(H165,'SO-DIMM-i9'!A:A,'SO-DIMM-i9'!B:B,_xlfn.XLOOKUP(H165,'SO-DIMM-i9'!H:H,'SO-DIMM-i9'!G:G,""))</f>
        <v/>
      </c>
    </row>
    <row r="166" spans="1:9" hidden="1" x14ac:dyDescent="0.25">
      <c r="A166">
        <v>157</v>
      </c>
      <c r="B166" t="s">
        <v>378</v>
      </c>
      <c r="C166">
        <v>8</v>
      </c>
      <c r="D166" t="s">
        <v>139</v>
      </c>
      <c r="E166" t="s">
        <v>139</v>
      </c>
      <c r="F166" t="s">
        <v>139</v>
      </c>
      <c r="G166" t="s">
        <v>139</v>
      </c>
      <c r="H166" t="s">
        <v>379</v>
      </c>
      <c r="I166" t="str">
        <f>_xlfn.XLOOKUP(H166,'SO-DIMM-i9'!A:A,'SO-DIMM-i9'!B:B,_xlfn.XLOOKUP(H166,'SO-DIMM-i9'!H:H,'SO-DIMM-i9'!G:G,""))</f>
        <v/>
      </c>
    </row>
    <row r="167" spans="1:9" hidden="1" x14ac:dyDescent="0.25">
      <c r="A167">
        <v>158</v>
      </c>
      <c r="B167" t="s">
        <v>167</v>
      </c>
      <c r="C167" t="s">
        <v>139</v>
      </c>
      <c r="D167" t="s">
        <v>139</v>
      </c>
      <c r="E167" t="s">
        <v>139</v>
      </c>
      <c r="F167" t="s">
        <v>139</v>
      </c>
      <c r="G167" t="s">
        <v>139</v>
      </c>
      <c r="H167" t="s">
        <v>139</v>
      </c>
    </row>
    <row r="168" spans="1:9" hidden="1" x14ac:dyDescent="0.25">
      <c r="A168">
        <v>159</v>
      </c>
      <c r="B168" t="s">
        <v>380</v>
      </c>
      <c r="C168">
        <v>8</v>
      </c>
      <c r="D168" t="s">
        <v>139</v>
      </c>
      <c r="E168" t="s">
        <v>139</v>
      </c>
      <c r="F168" t="s">
        <v>139</v>
      </c>
      <c r="G168" t="s">
        <v>139</v>
      </c>
      <c r="H168" t="s">
        <v>381</v>
      </c>
      <c r="I168" t="str">
        <f>_xlfn.XLOOKUP(H168,'SO-DIMM-i9'!A:A,'SO-DIMM-i9'!B:B,_xlfn.XLOOKUP(H168,'SO-DIMM-i9'!H:H,'SO-DIMM-i9'!G:G,""))</f>
        <v/>
      </c>
    </row>
    <row r="169" spans="1:9" hidden="1" x14ac:dyDescent="0.25">
      <c r="A169">
        <v>160</v>
      </c>
      <c r="B169" t="s">
        <v>382</v>
      </c>
      <c r="C169">
        <v>8</v>
      </c>
      <c r="D169" t="s">
        <v>139</v>
      </c>
      <c r="E169" t="s">
        <v>139</v>
      </c>
      <c r="F169" t="s">
        <v>139</v>
      </c>
      <c r="G169" t="s">
        <v>139</v>
      </c>
      <c r="H169" t="s">
        <v>383</v>
      </c>
      <c r="I169" t="str">
        <f>_xlfn.XLOOKUP(H169,'SO-DIMM-i9'!A:A,'SO-DIMM-i9'!B:B,_xlfn.XLOOKUP(H169,'SO-DIMM-i9'!H:H,'SO-DIMM-i9'!G:G,""))</f>
        <v/>
      </c>
    </row>
    <row r="170" spans="1:9" hidden="1" x14ac:dyDescent="0.25">
      <c r="A170">
        <v>161</v>
      </c>
      <c r="B170" t="s">
        <v>161</v>
      </c>
      <c r="C170" t="s">
        <v>139</v>
      </c>
      <c r="D170" t="s">
        <v>139</v>
      </c>
      <c r="E170" t="s">
        <v>139</v>
      </c>
      <c r="F170" t="s">
        <v>139</v>
      </c>
      <c r="G170" t="s">
        <v>139</v>
      </c>
      <c r="H170" t="s">
        <v>139</v>
      </c>
    </row>
    <row r="171" spans="1:9" hidden="1" x14ac:dyDescent="0.25">
      <c r="A171">
        <v>162</v>
      </c>
      <c r="B171" t="s">
        <v>384</v>
      </c>
      <c r="C171">
        <v>40</v>
      </c>
      <c r="D171" t="s">
        <v>139</v>
      </c>
      <c r="E171" t="s">
        <v>139</v>
      </c>
      <c r="F171" t="s">
        <v>139</v>
      </c>
      <c r="G171" t="s">
        <v>139</v>
      </c>
      <c r="H171" t="s">
        <v>385</v>
      </c>
      <c r="I171" t="str">
        <f>_xlfn.XLOOKUP(H171,'SO-DIMM-i9'!A:A,'SO-DIMM-i9'!B:B,_xlfn.XLOOKUP(H171,'SO-DIMM-i9'!H:H,'SO-DIMM-i9'!G:G,""))</f>
        <v/>
      </c>
    </row>
    <row r="172" spans="1:9" hidden="1" x14ac:dyDescent="0.25">
      <c r="A172">
        <v>163</v>
      </c>
      <c r="B172" t="s">
        <v>386</v>
      </c>
      <c r="C172">
        <v>40</v>
      </c>
      <c r="D172" t="s">
        <v>139</v>
      </c>
      <c r="E172" t="s">
        <v>139</v>
      </c>
      <c r="F172" t="s">
        <v>139</v>
      </c>
      <c r="G172" t="s">
        <v>139</v>
      </c>
      <c r="H172" t="s">
        <v>387</v>
      </c>
      <c r="I172" t="str">
        <f>_xlfn.XLOOKUP(H172,'SO-DIMM-i9'!A:A,'SO-DIMM-i9'!B:B,_xlfn.XLOOKUP(H172,'SO-DIMM-i9'!H:H,'SO-DIMM-i9'!G:G,""))</f>
        <v/>
      </c>
    </row>
    <row r="173" spans="1:9" hidden="1" x14ac:dyDescent="0.25">
      <c r="A173">
        <v>164</v>
      </c>
      <c r="B173" t="s">
        <v>344</v>
      </c>
      <c r="C173" t="s">
        <v>139</v>
      </c>
      <c r="D173" t="s">
        <v>139</v>
      </c>
      <c r="E173" t="s">
        <v>139</v>
      </c>
      <c r="F173" t="s">
        <v>139</v>
      </c>
      <c r="G173" t="s">
        <v>139</v>
      </c>
      <c r="H173" t="s">
        <v>139</v>
      </c>
    </row>
    <row r="174" spans="1:9" hidden="1" x14ac:dyDescent="0.25">
      <c r="A174">
        <v>165</v>
      </c>
      <c r="B174" t="s">
        <v>388</v>
      </c>
      <c r="C174">
        <v>40</v>
      </c>
      <c r="D174" t="s">
        <v>139</v>
      </c>
      <c r="E174" t="s">
        <v>139</v>
      </c>
      <c r="F174" t="s">
        <v>139</v>
      </c>
      <c r="G174" t="s">
        <v>139</v>
      </c>
      <c r="H174" t="s">
        <v>389</v>
      </c>
      <c r="I174" t="str">
        <f>_xlfn.XLOOKUP(H174,'SO-DIMM-i9'!A:A,'SO-DIMM-i9'!B:B,_xlfn.XLOOKUP(H174,'SO-DIMM-i9'!H:H,'SO-DIMM-i9'!G:G,""))</f>
        <v/>
      </c>
    </row>
    <row r="175" spans="1:9" hidden="1" x14ac:dyDescent="0.25">
      <c r="A175">
        <v>166</v>
      </c>
      <c r="B175" t="s">
        <v>390</v>
      </c>
      <c r="C175">
        <v>40</v>
      </c>
      <c r="D175" t="s">
        <v>139</v>
      </c>
      <c r="E175" t="s">
        <v>139</v>
      </c>
      <c r="F175" t="s">
        <v>139</v>
      </c>
      <c r="G175" t="s">
        <v>139</v>
      </c>
      <c r="H175" t="s">
        <v>391</v>
      </c>
      <c r="I175" t="str">
        <f>_xlfn.XLOOKUP(H175,'SO-DIMM-i9'!A:A,'SO-DIMM-i9'!B:B,_xlfn.XLOOKUP(H175,'SO-DIMM-i9'!H:H,'SO-DIMM-i9'!G:G,""))</f>
        <v/>
      </c>
    </row>
    <row r="176" spans="1:9" hidden="1" x14ac:dyDescent="0.25">
      <c r="A176">
        <v>167</v>
      </c>
      <c r="B176" t="s">
        <v>352</v>
      </c>
      <c r="C176" t="s">
        <v>139</v>
      </c>
      <c r="D176" t="s">
        <v>139</v>
      </c>
      <c r="E176" t="s">
        <v>139</v>
      </c>
      <c r="F176" t="s">
        <v>139</v>
      </c>
      <c r="G176" t="s">
        <v>139</v>
      </c>
      <c r="H176" t="s">
        <v>139</v>
      </c>
    </row>
    <row r="177" spans="1:9" hidden="1" x14ac:dyDescent="0.25">
      <c r="A177">
        <v>168</v>
      </c>
      <c r="B177" t="s">
        <v>167</v>
      </c>
      <c r="C177" t="s">
        <v>139</v>
      </c>
      <c r="D177" t="s">
        <v>139</v>
      </c>
      <c r="E177" t="s">
        <v>139</v>
      </c>
      <c r="F177" t="s">
        <v>139</v>
      </c>
      <c r="G177" t="s">
        <v>139</v>
      </c>
      <c r="H177" t="s">
        <v>139</v>
      </c>
    </row>
    <row r="178" spans="1:9" hidden="1" x14ac:dyDescent="0.25">
      <c r="A178">
        <v>169</v>
      </c>
      <c r="B178" t="s">
        <v>167</v>
      </c>
      <c r="C178" t="s">
        <v>139</v>
      </c>
      <c r="D178" t="s">
        <v>139</v>
      </c>
      <c r="E178" t="s">
        <v>139</v>
      </c>
      <c r="F178" t="s">
        <v>139</v>
      </c>
      <c r="G178" t="s">
        <v>139</v>
      </c>
      <c r="H178" t="s">
        <v>139</v>
      </c>
    </row>
    <row r="179" spans="1:9" hidden="1" x14ac:dyDescent="0.25">
      <c r="A179">
        <v>170</v>
      </c>
      <c r="B179" t="s">
        <v>161</v>
      </c>
      <c r="C179" t="s">
        <v>139</v>
      </c>
      <c r="D179" t="s">
        <v>139</v>
      </c>
      <c r="E179" t="s">
        <v>139</v>
      </c>
      <c r="F179" t="s">
        <v>139</v>
      </c>
      <c r="G179" t="s">
        <v>139</v>
      </c>
      <c r="H179" t="s">
        <v>139</v>
      </c>
    </row>
    <row r="180" spans="1:9" hidden="1" x14ac:dyDescent="0.25">
      <c r="A180">
        <v>171</v>
      </c>
      <c r="B180" t="s">
        <v>161</v>
      </c>
      <c r="C180" t="s">
        <v>139</v>
      </c>
      <c r="D180" t="s">
        <v>139</v>
      </c>
      <c r="E180" t="s">
        <v>139</v>
      </c>
      <c r="F180" t="s">
        <v>139</v>
      </c>
      <c r="G180" t="s">
        <v>139</v>
      </c>
      <c r="H180" t="s">
        <v>139</v>
      </c>
    </row>
    <row r="181" spans="1:9" hidden="1" x14ac:dyDescent="0.25">
      <c r="A181">
        <v>172</v>
      </c>
      <c r="B181" t="s">
        <v>167</v>
      </c>
      <c r="C181" t="s">
        <v>139</v>
      </c>
      <c r="D181" t="s">
        <v>139</v>
      </c>
      <c r="E181" t="s">
        <v>139</v>
      </c>
      <c r="F181" t="s">
        <v>139</v>
      </c>
      <c r="G181" t="s">
        <v>139</v>
      </c>
      <c r="H181" t="s">
        <v>139</v>
      </c>
    </row>
    <row r="182" spans="1:9" hidden="1" x14ac:dyDescent="0.25">
      <c r="A182">
        <v>173</v>
      </c>
      <c r="B182" t="s">
        <v>167</v>
      </c>
      <c r="C182" t="s">
        <v>139</v>
      </c>
      <c r="D182" t="s">
        <v>139</v>
      </c>
      <c r="E182" t="s">
        <v>139</v>
      </c>
      <c r="F182" t="s">
        <v>139</v>
      </c>
      <c r="G182" t="s">
        <v>139</v>
      </c>
      <c r="H182" t="s">
        <v>139</v>
      </c>
    </row>
    <row r="183" spans="1:9" hidden="1" x14ac:dyDescent="0.25">
      <c r="A183">
        <v>174</v>
      </c>
      <c r="B183" t="s">
        <v>4</v>
      </c>
      <c r="C183" t="s">
        <v>139</v>
      </c>
      <c r="D183" t="s">
        <v>139</v>
      </c>
      <c r="E183" t="s">
        <v>139</v>
      </c>
      <c r="F183" t="s">
        <v>139</v>
      </c>
      <c r="G183" t="s">
        <v>139</v>
      </c>
      <c r="H183" t="s">
        <v>139</v>
      </c>
    </row>
    <row r="184" spans="1:9" hidden="1" x14ac:dyDescent="0.25">
      <c r="A184">
        <v>175</v>
      </c>
      <c r="B184" t="s">
        <v>4</v>
      </c>
      <c r="C184" t="s">
        <v>139</v>
      </c>
      <c r="D184" t="s">
        <v>139</v>
      </c>
      <c r="E184" t="s">
        <v>139</v>
      </c>
      <c r="F184" t="s">
        <v>139</v>
      </c>
      <c r="G184" t="s">
        <v>139</v>
      </c>
      <c r="H184" t="s">
        <v>139</v>
      </c>
    </row>
    <row r="185" spans="1:9" hidden="1" x14ac:dyDescent="0.25">
      <c r="A185">
        <v>176</v>
      </c>
      <c r="B185" t="s">
        <v>392</v>
      </c>
      <c r="C185" t="s">
        <v>139</v>
      </c>
      <c r="D185" t="s">
        <v>139</v>
      </c>
      <c r="E185" t="s">
        <v>139</v>
      </c>
      <c r="F185" t="s">
        <v>139</v>
      </c>
      <c r="G185" t="s">
        <v>139</v>
      </c>
      <c r="H185" t="s">
        <v>393</v>
      </c>
      <c r="I185" t="str">
        <f>_xlfn.XLOOKUP(H185,'SO-DIMM-i9'!A:A,'SO-DIMM-i9'!B:B,_xlfn.XLOOKUP(H185,'SO-DIMM-i9'!H:H,'SO-DIMM-i9'!G:G,""))</f>
        <v/>
      </c>
    </row>
    <row r="186" spans="1:9" hidden="1" x14ac:dyDescent="0.25">
      <c r="A186">
        <v>177</v>
      </c>
      <c r="B186" t="s">
        <v>4</v>
      </c>
      <c r="C186" t="s">
        <v>139</v>
      </c>
      <c r="D186" t="s">
        <v>139</v>
      </c>
      <c r="E186" t="s">
        <v>139</v>
      </c>
      <c r="F186" t="s">
        <v>139</v>
      </c>
      <c r="G186" t="s">
        <v>139</v>
      </c>
      <c r="H186" t="s">
        <v>394</v>
      </c>
      <c r="I186" t="str">
        <f>_xlfn.XLOOKUP(H186,'SO-DIMM-i9'!A:A,'SO-DIMM-i9'!B:B,_xlfn.XLOOKUP(H186,'SO-DIMM-i9'!H:H,'SO-DIMM-i9'!G:G,""))</f>
        <v/>
      </c>
    </row>
    <row r="187" spans="1:9" hidden="1" x14ac:dyDescent="0.25">
      <c r="A187">
        <v>178</v>
      </c>
      <c r="B187" t="s">
        <v>392</v>
      </c>
      <c r="C187" t="s">
        <v>139</v>
      </c>
      <c r="D187" t="s">
        <v>139</v>
      </c>
      <c r="E187" t="s">
        <v>139</v>
      </c>
      <c r="F187" t="s">
        <v>139</v>
      </c>
      <c r="G187" t="s">
        <v>139</v>
      </c>
      <c r="H187" t="s">
        <v>395</v>
      </c>
      <c r="I187" t="str">
        <f>_xlfn.XLOOKUP(H187,'SO-DIMM-i9'!A:A,'SO-DIMM-i9'!B:B,_xlfn.XLOOKUP(H187,'SO-DIMM-i9'!H:H,'SO-DIMM-i9'!G:G,""))</f>
        <v/>
      </c>
    </row>
    <row r="188" spans="1:9" hidden="1" x14ac:dyDescent="0.25">
      <c r="A188">
        <v>179</v>
      </c>
      <c r="B188" t="s">
        <v>4</v>
      </c>
      <c r="C188" t="s">
        <v>139</v>
      </c>
      <c r="D188" t="s">
        <v>139</v>
      </c>
      <c r="E188" t="s">
        <v>139</v>
      </c>
      <c r="F188" t="s">
        <v>139</v>
      </c>
      <c r="G188" t="s">
        <v>139</v>
      </c>
      <c r="H188" t="s">
        <v>139</v>
      </c>
    </row>
    <row r="189" spans="1:9" hidden="1" x14ac:dyDescent="0.25">
      <c r="A189">
        <v>180</v>
      </c>
      <c r="B189" t="s">
        <v>4</v>
      </c>
      <c r="C189" t="s">
        <v>139</v>
      </c>
      <c r="D189" t="s">
        <v>139</v>
      </c>
      <c r="E189" t="s">
        <v>139</v>
      </c>
      <c r="F189" t="s">
        <v>139</v>
      </c>
      <c r="G189" t="s">
        <v>139</v>
      </c>
      <c r="H189" t="s">
        <v>139</v>
      </c>
    </row>
    <row r="190" spans="1:9" hidden="1" x14ac:dyDescent="0.25">
      <c r="A190">
        <v>181</v>
      </c>
      <c r="B190" t="s">
        <v>4</v>
      </c>
      <c r="C190" t="s">
        <v>139</v>
      </c>
      <c r="D190" t="s">
        <v>139</v>
      </c>
      <c r="E190" t="s">
        <v>139</v>
      </c>
      <c r="F190" t="s">
        <v>139</v>
      </c>
      <c r="G190" t="s">
        <v>139</v>
      </c>
      <c r="H190" t="s">
        <v>396</v>
      </c>
      <c r="I190" t="str">
        <f>_xlfn.XLOOKUP(H190,'SO-DIMM-i9'!A:A,'SO-DIMM-i9'!B:B,_xlfn.XLOOKUP(H190,'SO-DIMM-i9'!H:H,'SO-DIMM-i9'!G:G,""))</f>
        <v/>
      </c>
    </row>
    <row r="191" spans="1:9" hidden="1" x14ac:dyDescent="0.25">
      <c r="A191">
        <v>182</v>
      </c>
      <c r="B191" t="s">
        <v>4</v>
      </c>
      <c r="C191" t="s">
        <v>139</v>
      </c>
      <c r="D191" t="s">
        <v>139</v>
      </c>
      <c r="E191" t="s">
        <v>139</v>
      </c>
      <c r="F191" t="s">
        <v>139</v>
      </c>
      <c r="G191" t="s">
        <v>139</v>
      </c>
      <c r="H191" t="s">
        <v>139</v>
      </c>
    </row>
    <row r="192" spans="1:9" hidden="1" x14ac:dyDescent="0.25">
      <c r="A192">
        <v>183</v>
      </c>
      <c r="B192" t="s">
        <v>4</v>
      </c>
      <c r="C192" t="s">
        <v>139</v>
      </c>
      <c r="D192" t="s">
        <v>139</v>
      </c>
      <c r="E192" t="s">
        <v>139</v>
      </c>
      <c r="F192" t="s">
        <v>139</v>
      </c>
      <c r="G192" t="s">
        <v>139</v>
      </c>
      <c r="H192" t="s">
        <v>397</v>
      </c>
      <c r="I192" t="str">
        <f>_xlfn.XLOOKUP(H192,'SO-DIMM-i9'!A:A,'SO-DIMM-i9'!B:B,_xlfn.XLOOKUP(H192,'SO-DIMM-i9'!H:H,'SO-DIMM-i9'!G:G,""))</f>
        <v/>
      </c>
    </row>
    <row r="193" spans="1:9" hidden="1" x14ac:dyDescent="0.25">
      <c r="A193">
        <v>184</v>
      </c>
      <c r="B193" t="s">
        <v>4</v>
      </c>
      <c r="C193" t="s">
        <v>139</v>
      </c>
      <c r="D193" t="s">
        <v>139</v>
      </c>
      <c r="E193" t="s">
        <v>139</v>
      </c>
      <c r="F193" t="s">
        <v>139</v>
      </c>
      <c r="G193" t="s">
        <v>139</v>
      </c>
      <c r="H193" t="s">
        <v>398</v>
      </c>
      <c r="I193" t="str">
        <f>_xlfn.XLOOKUP(H193,'SO-DIMM-i9'!A:A,'SO-DIMM-i9'!B:B,_xlfn.XLOOKUP(H193,'SO-DIMM-i9'!H:H,'SO-DIMM-i9'!G:G,""))</f>
        <v/>
      </c>
    </row>
    <row r="194" spans="1:9" hidden="1" x14ac:dyDescent="0.25">
      <c r="A194">
        <v>185</v>
      </c>
      <c r="B194" t="s">
        <v>4</v>
      </c>
      <c r="C194" t="s">
        <v>139</v>
      </c>
      <c r="D194" t="s">
        <v>139</v>
      </c>
      <c r="E194" t="s">
        <v>139</v>
      </c>
      <c r="F194" t="s">
        <v>139</v>
      </c>
      <c r="G194" t="s">
        <v>139</v>
      </c>
      <c r="H194" t="s">
        <v>139</v>
      </c>
    </row>
    <row r="195" spans="1:9" hidden="1" x14ac:dyDescent="0.25">
      <c r="A195">
        <v>186</v>
      </c>
      <c r="B195" t="s">
        <v>4</v>
      </c>
      <c r="C195" t="s">
        <v>139</v>
      </c>
      <c r="D195" t="s">
        <v>139</v>
      </c>
      <c r="E195" t="s">
        <v>139</v>
      </c>
      <c r="F195" t="s">
        <v>139</v>
      </c>
      <c r="G195" t="s">
        <v>139</v>
      </c>
      <c r="H195" t="s">
        <v>139</v>
      </c>
    </row>
    <row r="196" spans="1:9" hidden="1" x14ac:dyDescent="0.25">
      <c r="A196">
        <v>187</v>
      </c>
      <c r="B196" t="s">
        <v>4</v>
      </c>
      <c r="C196" t="s">
        <v>139</v>
      </c>
      <c r="D196" t="s">
        <v>139</v>
      </c>
      <c r="E196" t="s">
        <v>139</v>
      </c>
      <c r="F196" t="s">
        <v>139</v>
      </c>
      <c r="G196" t="s">
        <v>139</v>
      </c>
      <c r="H196" t="s">
        <v>399</v>
      </c>
      <c r="I196" t="str">
        <f>_xlfn.XLOOKUP(H196,'SO-DIMM-i9'!A:A,'SO-DIMM-i9'!B:B,_xlfn.XLOOKUP(H196,'SO-DIMM-i9'!H:H,'SO-DIMM-i9'!G:G,""))</f>
        <v/>
      </c>
    </row>
    <row r="197" spans="1:9" hidden="1" x14ac:dyDescent="0.25">
      <c r="A197">
        <v>188</v>
      </c>
      <c r="B197" t="s">
        <v>4</v>
      </c>
      <c r="C197" t="s">
        <v>139</v>
      </c>
      <c r="D197" t="s">
        <v>139</v>
      </c>
      <c r="E197" t="s">
        <v>139</v>
      </c>
      <c r="F197" t="s">
        <v>139</v>
      </c>
      <c r="G197" t="s">
        <v>139</v>
      </c>
      <c r="H197" t="s">
        <v>139</v>
      </c>
    </row>
    <row r="198" spans="1:9" hidden="1" x14ac:dyDescent="0.25">
      <c r="A198">
        <v>189</v>
      </c>
      <c r="B198" t="s">
        <v>4</v>
      </c>
      <c r="C198" t="s">
        <v>139</v>
      </c>
      <c r="D198" t="s">
        <v>139</v>
      </c>
      <c r="E198" t="s">
        <v>139</v>
      </c>
      <c r="F198" t="s">
        <v>139</v>
      </c>
      <c r="G198" t="s">
        <v>139</v>
      </c>
      <c r="H198" t="s">
        <v>400</v>
      </c>
      <c r="I198" t="str">
        <f>_xlfn.XLOOKUP(H198,'SO-DIMM-i9'!A:A,'SO-DIMM-i9'!B:B,_xlfn.XLOOKUP(H198,'SO-DIMM-i9'!H:H,'SO-DIMM-i9'!G:G,""))</f>
        <v/>
      </c>
    </row>
    <row r="199" spans="1:9" hidden="1" x14ac:dyDescent="0.25">
      <c r="A199">
        <v>190</v>
      </c>
      <c r="B199" t="s">
        <v>4</v>
      </c>
      <c r="C199" t="s">
        <v>139</v>
      </c>
      <c r="D199" t="s">
        <v>139</v>
      </c>
      <c r="E199" t="s">
        <v>139</v>
      </c>
      <c r="F199" t="s">
        <v>139</v>
      </c>
      <c r="G199" t="s">
        <v>139</v>
      </c>
      <c r="H199" t="s">
        <v>401</v>
      </c>
      <c r="I199" t="str">
        <f>_xlfn.XLOOKUP(H199,'SO-DIMM-i9'!A:A,'SO-DIMM-i9'!B:B,_xlfn.XLOOKUP(H199,'SO-DIMM-i9'!H:H,'SO-DIMM-i9'!G:G,""))</f>
        <v/>
      </c>
    </row>
    <row r="200" spans="1:9" hidden="1" x14ac:dyDescent="0.25">
      <c r="A200">
        <v>191</v>
      </c>
      <c r="B200" t="s">
        <v>4</v>
      </c>
      <c r="C200" t="s">
        <v>139</v>
      </c>
      <c r="D200" t="s">
        <v>139</v>
      </c>
      <c r="E200" t="s">
        <v>139</v>
      </c>
      <c r="F200" t="s">
        <v>139</v>
      </c>
      <c r="G200" t="s">
        <v>139</v>
      </c>
      <c r="H200" t="s">
        <v>139</v>
      </c>
    </row>
    <row r="201" spans="1:9" hidden="1" x14ac:dyDescent="0.25">
      <c r="A201">
        <v>192</v>
      </c>
      <c r="B201" t="s">
        <v>4</v>
      </c>
      <c r="C201" t="s">
        <v>139</v>
      </c>
      <c r="D201" t="s">
        <v>139</v>
      </c>
      <c r="E201" t="s">
        <v>139</v>
      </c>
      <c r="F201" t="s">
        <v>139</v>
      </c>
      <c r="G201" t="s">
        <v>139</v>
      </c>
      <c r="H201" t="s">
        <v>139</v>
      </c>
    </row>
    <row r="202" spans="1:9" hidden="1" x14ac:dyDescent="0.25">
      <c r="A202">
        <v>193</v>
      </c>
      <c r="B202" t="s">
        <v>392</v>
      </c>
      <c r="C202" t="s">
        <v>139</v>
      </c>
      <c r="D202" t="s">
        <v>139</v>
      </c>
      <c r="E202" t="s">
        <v>139</v>
      </c>
      <c r="F202" t="s">
        <v>139</v>
      </c>
      <c r="G202" t="s">
        <v>139</v>
      </c>
      <c r="H202" t="s">
        <v>402</v>
      </c>
      <c r="I202" t="str">
        <f>_xlfn.XLOOKUP(H202,'SO-DIMM-i9'!A:A,'SO-DIMM-i9'!B:B,_xlfn.XLOOKUP(H202,'SO-DIMM-i9'!H:H,'SO-DIMM-i9'!G:G,""))</f>
        <v/>
      </c>
    </row>
    <row r="203" spans="1:9" hidden="1" x14ac:dyDescent="0.25">
      <c r="A203">
        <v>194</v>
      </c>
      <c r="B203" t="s">
        <v>4</v>
      </c>
      <c r="C203" t="s">
        <v>139</v>
      </c>
      <c r="D203" t="s">
        <v>139</v>
      </c>
      <c r="E203" t="s">
        <v>139</v>
      </c>
      <c r="F203" t="s">
        <v>139</v>
      </c>
      <c r="G203" t="s">
        <v>139</v>
      </c>
      <c r="H203" t="s">
        <v>403</v>
      </c>
      <c r="I203" t="str">
        <f>_xlfn.XLOOKUP(H203,'SO-DIMM-i9'!A:A,'SO-DIMM-i9'!B:B,_xlfn.XLOOKUP(H203,'SO-DIMM-i9'!H:H,'SO-DIMM-i9'!G:G,""))</f>
        <v/>
      </c>
    </row>
    <row r="204" spans="1:9" hidden="1" x14ac:dyDescent="0.25">
      <c r="A204">
        <v>195</v>
      </c>
      <c r="B204" t="s">
        <v>392</v>
      </c>
      <c r="C204" t="s">
        <v>139</v>
      </c>
      <c r="D204" t="s">
        <v>139</v>
      </c>
      <c r="E204" t="s">
        <v>139</v>
      </c>
      <c r="F204" t="s">
        <v>139</v>
      </c>
      <c r="G204" t="s">
        <v>139</v>
      </c>
      <c r="H204" t="s">
        <v>404</v>
      </c>
      <c r="I204" t="str">
        <f>_xlfn.XLOOKUP(H204,'SO-DIMM-i9'!A:A,'SO-DIMM-i9'!B:B,_xlfn.XLOOKUP(H204,'SO-DIMM-i9'!H:H,'SO-DIMM-i9'!G:G,""))</f>
        <v/>
      </c>
    </row>
    <row r="205" spans="1:9" hidden="1" x14ac:dyDescent="0.25">
      <c r="A205">
        <v>196</v>
      </c>
      <c r="B205" t="s">
        <v>4</v>
      </c>
      <c r="C205" t="s">
        <v>139</v>
      </c>
      <c r="D205" t="s">
        <v>139</v>
      </c>
      <c r="E205" t="s">
        <v>139</v>
      </c>
      <c r="F205" t="s">
        <v>139</v>
      </c>
      <c r="G205" t="s">
        <v>139</v>
      </c>
      <c r="H205" t="s">
        <v>139</v>
      </c>
    </row>
    <row r="206" spans="1:9" hidden="1" x14ac:dyDescent="0.25">
      <c r="A206">
        <v>197</v>
      </c>
      <c r="B206" t="s">
        <v>4</v>
      </c>
      <c r="C206" t="s">
        <v>139</v>
      </c>
      <c r="D206" t="s">
        <v>139</v>
      </c>
      <c r="E206" t="s">
        <v>139</v>
      </c>
      <c r="F206" t="s">
        <v>139</v>
      </c>
      <c r="G206" t="s">
        <v>139</v>
      </c>
      <c r="H206" t="s">
        <v>139</v>
      </c>
    </row>
    <row r="207" spans="1:9" hidden="1" x14ac:dyDescent="0.25">
      <c r="A207">
        <v>198</v>
      </c>
      <c r="B207" t="s">
        <v>392</v>
      </c>
      <c r="C207" t="s">
        <v>139</v>
      </c>
      <c r="D207" t="s">
        <v>139</v>
      </c>
      <c r="E207" t="s">
        <v>139</v>
      </c>
      <c r="F207" t="s">
        <v>139</v>
      </c>
      <c r="G207" t="s">
        <v>139</v>
      </c>
      <c r="H207" t="s">
        <v>405</v>
      </c>
      <c r="I207" t="str">
        <f>_xlfn.XLOOKUP(H207,'SO-DIMM-i9'!A:A,'SO-DIMM-i9'!B:B,_xlfn.XLOOKUP(H207,'SO-DIMM-i9'!H:H,'SO-DIMM-i9'!G:G,""))</f>
        <v/>
      </c>
    </row>
    <row r="208" spans="1:9" hidden="1" x14ac:dyDescent="0.25">
      <c r="A208">
        <v>199</v>
      </c>
      <c r="B208" t="s">
        <v>4</v>
      </c>
      <c r="C208" t="s">
        <v>139</v>
      </c>
      <c r="D208" t="s">
        <v>139</v>
      </c>
      <c r="E208" t="s">
        <v>139</v>
      </c>
      <c r="F208" t="s">
        <v>139</v>
      </c>
      <c r="G208" t="s">
        <v>139</v>
      </c>
      <c r="H208" t="s">
        <v>139</v>
      </c>
    </row>
    <row r="209" spans="1:9" hidden="1" x14ac:dyDescent="0.25">
      <c r="A209">
        <v>200</v>
      </c>
      <c r="B209" t="s">
        <v>392</v>
      </c>
      <c r="C209" t="s">
        <v>139</v>
      </c>
      <c r="D209" t="s">
        <v>139</v>
      </c>
      <c r="E209" t="s">
        <v>139</v>
      </c>
      <c r="F209" t="s">
        <v>139</v>
      </c>
      <c r="G209" t="s">
        <v>139</v>
      </c>
      <c r="H209" t="s">
        <v>406</v>
      </c>
      <c r="I209" t="str">
        <f>_xlfn.XLOOKUP(H209,'SO-DIMM-i9'!A:A,'SO-DIMM-i9'!B:B,_xlfn.XLOOKUP(H209,'SO-DIMM-i9'!H:H,'SO-DIMM-i9'!G:G,""))</f>
        <v/>
      </c>
    </row>
    <row r="210" spans="1:9" hidden="1" x14ac:dyDescent="0.25">
      <c r="A210">
        <v>201</v>
      </c>
      <c r="B210" t="s">
        <v>4</v>
      </c>
      <c r="C210" t="s">
        <v>139</v>
      </c>
      <c r="D210" t="s">
        <v>139</v>
      </c>
      <c r="E210" t="s">
        <v>139</v>
      </c>
      <c r="F210" t="s">
        <v>139</v>
      </c>
      <c r="G210" t="s">
        <v>139</v>
      </c>
      <c r="H210" t="s">
        <v>139</v>
      </c>
    </row>
    <row r="211" spans="1:9" hidden="1" x14ac:dyDescent="0.25">
      <c r="A211">
        <v>202</v>
      </c>
      <c r="B211" t="s">
        <v>4</v>
      </c>
      <c r="C211" t="s">
        <v>139</v>
      </c>
      <c r="D211" t="s">
        <v>139</v>
      </c>
      <c r="E211" t="s">
        <v>139</v>
      </c>
      <c r="F211" t="s">
        <v>139</v>
      </c>
      <c r="G211" t="s">
        <v>139</v>
      </c>
      <c r="H211" t="s">
        <v>139</v>
      </c>
    </row>
    <row r="212" spans="1:9" hidden="1" x14ac:dyDescent="0.25">
      <c r="A212">
        <v>203</v>
      </c>
      <c r="B212" t="s">
        <v>4</v>
      </c>
      <c r="C212" t="s">
        <v>139</v>
      </c>
      <c r="D212" t="s">
        <v>139</v>
      </c>
      <c r="E212" t="s">
        <v>139</v>
      </c>
      <c r="F212" t="s">
        <v>139</v>
      </c>
      <c r="G212" t="s">
        <v>139</v>
      </c>
      <c r="H212" t="s">
        <v>407</v>
      </c>
      <c r="I212" t="str">
        <f>_xlfn.XLOOKUP(H212,'SO-DIMM-i9'!A:A,'SO-DIMM-i9'!B:B,_xlfn.XLOOKUP(H212,'SO-DIMM-i9'!H:H,'SO-DIMM-i9'!G:G,""))</f>
        <v/>
      </c>
    </row>
    <row r="213" spans="1:9" hidden="1" x14ac:dyDescent="0.25">
      <c r="A213">
        <v>204</v>
      </c>
      <c r="B213" t="s">
        <v>4</v>
      </c>
      <c r="C213" t="s">
        <v>139</v>
      </c>
      <c r="D213" t="s">
        <v>139</v>
      </c>
      <c r="E213" t="s">
        <v>139</v>
      </c>
      <c r="F213" t="s">
        <v>139</v>
      </c>
      <c r="G213" t="s">
        <v>139</v>
      </c>
      <c r="H213" t="s">
        <v>139</v>
      </c>
    </row>
    <row r="214" spans="1:9" hidden="1" x14ac:dyDescent="0.25">
      <c r="A214">
        <v>205</v>
      </c>
      <c r="B214" t="s">
        <v>4</v>
      </c>
      <c r="C214" t="s">
        <v>139</v>
      </c>
      <c r="D214" t="s">
        <v>139</v>
      </c>
      <c r="E214" t="s">
        <v>139</v>
      </c>
      <c r="F214" t="s">
        <v>139</v>
      </c>
      <c r="G214" t="s">
        <v>139</v>
      </c>
      <c r="H214" t="s">
        <v>408</v>
      </c>
      <c r="I214" t="str">
        <f>_xlfn.XLOOKUP(H214,'SO-DIMM-i9'!A:A,'SO-DIMM-i9'!B:B,_xlfn.XLOOKUP(H214,'SO-DIMM-i9'!H:H,'SO-DIMM-i9'!G:G,""))</f>
        <v/>
      </c>
    </row>
    <row r="215" spans="1:9" hidden="1" x14ac:dyDescent="0.25">
      <c r="A215">
        <v>206</v>
      </c>
      <c r="B215" t="s">
        <v>4</v>
      </c>
      <c r="C215" t="s">
        <v>139</v>
      </c>
      <c r="D215" t="s">
        <v>139</v>
      </c>
      <c r="E215" t="s">
        <v>139</v>
      </c>
      <c r="F215" t="s">
        <v>139</v>
      </c>
      <c r="G215" t="s">
        <v>139</v>
      </c>
      <c r="H215" t="s">
        <v>139</v>
      </c>
    </row>
    <row r="216" spans="1:9" hidden="1" x14ac:dyDescent="0.25">
      <c r="A216">
        <v>207</v>
      </c>
      <c r="B216" t="s">
        <v>4</v>
      </c>
      <c r="C216" t="s">
        <v>139</v>
      </c>
      <c r="D216" t="s">
        <v>139</v>
      </c>
      <c r="E216" t="s">
        <v>139</v>
      </c>
      <c r="F216" t="s">
        <v>139</v>
      </c>
      <c r="G216" t="s">
        <v>139</v>
      </c>
      <c r="H216" t="s">
        <v>139</v>
      </c>
    </row>
    <row r="217" spans="1:9" hidden="1" x14ac:dyDescent="0.25">
      <c r="A217">
        <v>208</v>
      </c>
      <c r="B217" t="s">
        <v>392</v>
      </c>
      <c r="C217" t="s">
        <v>139</v>
      </c>
      <c r="D217" t="s">
        <v>139</v>
      </c>
      <c r="E217" t="s">
        <v>139</v>
      </c>
      <c r="F217" t="s">
        <v>139</v>
      </c>
      <c r="G217" t="s">
        <v>139</v>
      </c>
      <c r="H217" t="s">
        <v>912</v>
      </c>
      <c r="I217" t="str">
        <f>_xlfn.XLOOKUP(H217,'SO-DIMM-i9'!A:A,'SO-DIMM-i9'!B:B,_xlfn.XLOOKUP(H217,'SO-DIMM-i9'!H:H,'SO-DIMM-i9'!G:G,""))</f>
        <v/>
      </c>
    </row>
    <row r="218" spans="1:9" hidden="1" x14ac:dyDescent="0.25">
      <c r="A218">
        <v>209</v>
      </c>
      <c r="B218" t="s">
        <v>4</v>
      </c>
      <c r="C218" t="s">
        <v>139</v>
      </c>
      <c r="D218" t="s">
        <v>139</v>
      </c>
      <c r="E218" t="s">
        <v>139</v>
      </c>
      <c r="F218" t="s">
        <v>139</v>
      </c>
      <c r="G218" t="s">
        <v>139</v>
      </c>
      <c r="H218" t="s">
        <v>914</v>
      </c>
      <c r="I218" t="str">
        <f>_xlfn.XLOOKUP(H218,'SO-DIMM-i9'!A:A,'SO-DIMM-i9'!B:B,_xlfn.XLOOKUP(H218,'SO-DIMM-i9'!H:H,'SO-DIMM-i9'!G:G,""))</f>
        <v/>
      </c>
    </row>
    <row r="219" spans="1:9" hidden="1" x14ac:dyDescent="0.25">
      <c r="A219">
        <v>210</v>
      </c>
      <c r="B219" t="s">
        <v>392</v>
      </c>
      <c r="C219" t="s">
        <v>139</v>
      </c>
      <c r="D219" t="s">
        <v>139</v>
      </c>
      <c r="E219" t="s">
        <v>139</v>
      </c>
      <c r="F219" t="s">
        <v>139</v>
      </c>
      <c r="G219" t="s">
        <v>139</v>
      </c>
      <c r="H219" t="s">
        <v>909</v>
      </c>
      <c r="I219" t="str">
        <f>_xlfn.XLOOKUP(H219,'SO-DIMM-i9'!A:A,'SO-DIMM-i9'!B:B,_xlfn.XLOOKUP(H219,'SO-DIMM-i9'!H:H,'SO-DIMM-i9'!G:G,""))</f>
        <v/>
      </c>
    </row>
    <row r="220" spans="1:9" hidden="1" x14ac:dyDescent="0.25">
      <c r="A220">
        <v>211</v>
      </c>
      <c r="B220" t="s">
        <v>4</v>
      </c>
      <c r="C220" t="s">
        <v>139</v>
      </c>
      <c r="D220" t="s">
        <v>139</v>
      </c>
      <c r="E220" t="s">
        <v>139</v>
      </c>
      <c r="F220" t="s">
        <v>139</v>
      </c>
      <c r="G220" t="s">
        <v>139</v>
      </c>
      <c r="H220" t="s">
        <v>139</v>
      </c>
    </row>
    <row r="221" spans="1:9" hidden="1" x14ac:dyDescent="0.25">
      <c r="A221">
        <v>212</v>
      </c>
      <c r="B221" t="s">
        <v>4</v>
      </c>
      <c r="C221" t="s">
        <v>139</v>
      </c>
      <c r="D221" t="s">
        <v>139</v>
      </c>
      <c r="E221" t="s">
        <v>139</v>
      </c>
      <c r="F221" t="s">
        <v>139</v>
      </c>
      <c r="G221" t="s">
        <v>139</v>
      </c>
      <c r="H221" t="s">
        <v>139</v>
      </c>
    </row>
    <row r="222" spans="1:9" hidden="1" x14ac:dyDescent="0.25">
      <c r="A222">
        <v>213</v>
      </c>
      <c r="B222" t="s">
        <v>4</v>
      </c>
      <c r="C222" t="s">
        <v>139</v>
      </c>
      <c r="D222" t="s">
        <v>139</v>
      </c>
      <c r="E222" t="s">
        <v>139</v>
      </c>
      <c r="F222" t="s">
        <v>139</v>
      </c>
      <c r="G222" t="s">
        <v>139</v>
      </c>
      <c r="H222" t="s">
        <v>910</v>
      </c>
      <c r="I222" t="str">
        <f>_xlfn.XLOOKUP(H222,'SO-DIMM-i9'!A:A,'SO-DIMM-i9'!B:B,_xlfn.XLOOKUP(H222,'SO-DIMM-i9'!H:H,'SO-DIMM-i9'!G:G,""))</f>
        <v/>
      </c>
    </row>
    <row r="223" spans="1:9" hidden="1" x14ac:dyDescent="0.25">
      <c r="A223">
        <v>214</v>
      </c>
      <c r="B223" t="s">
        <v>4</v>
      </c>
      <c r="C223" t="s">
        <v>139</v>
      </c>
      <c r="D223" t="s">
        <v>139</v>
      </c>
      <c r="E223" t="s">
        <v>139</v>
      </c>
      <c r="F223" t="s">
        <v>139</v>
      </c>
      <c r="G223" t="s">
        <v>139</v>
      </c>
      <c r="H223" t="s">
        <v>139</v>
      </c>
    </row>
    <row r="224" spans="1:9" hidden="1" x14ac:dyDescent="0.25">
      <c r="A224">
        <v>215</v>
      </c>
      <c r="B224" t="s">
        <v>4</v>
      </c>
      <c r="C224" t="s">
        <v>139</v>
      </c>
      <c r="D224" t="s">
        <v>139</v>
      </c>
      <c r="E224" t="s">
        <v>139</v>
      </c>
      <c r="F224" t="s">
        <v>139</v>
      </c>
      <c r="G224" t="s">
        <v>139</v>
      </c>
      <c r="H224" t="s">
        <v>913</v>
      </c>
      <c r="I224" t="str">
        <f>_xlfn.XLOOKUP(H224,'SO-DIMM-i9'!A:A,'SO-DIMM-i9'!B:B,_xlfn.XLOOKUP(H224,'SO-DIMM-i9'!H:H,'SO-DIMM-i9'!G:G,""))</f>
        <v/>
      </c>
    </row>
    <row r="225" spans="1:9" hidden="1" x14ac:dyDescent="0.25">
      <c r="A225">
        <v>216</v>
      </c>
      <c r="B225" t="s">
        <v>4</v>
      </c>
      <c r="C225" t="s">
        <v>139</v>
      </c>
      <c r="D225" t="s">
        <v>139</v>
      </c>
      <c r="E225" t="s">
        <v>139</v>
      </c>
      <c r="F225" t="s">
        <v>139</v>
      </c>
      <c r="G225" t="s">
        <v>139</v>
      </c>
      <c r="H225" t="s">
        <v>907</v>
      </c>
      <c r="I225" t="str">
        <f>_xlfn.XLOOKUP(H225,'SO-DIMM-i9'!A:A,'SO-DIMM-i9'!B:B,_xlfn.XLOOKUP(H225,'SO-DIMM-i9'!H:H,'SO-DIMM-i9'!G:G,""))</f>
        <v/>
      </c>
    </row>
    <row r="226" spans="1:9" hidden="1" x14ac:dyDescent="0.25">
      <c r="A226">
        <v>217</v>
      </c>
      <c r="B226" t="s">
        <v>4</v>
      </c>
      <c r="C226" t="s">
        <v>139</v>
      </c>
      <c r="D226" t="s">
        <v>139</v>
      </c>
      <c r="E226" t="s">
        <v>139</v>
      </c>
      <c r="F226" t="s">
        <v>139</v>
      </c>
      <c r="G226" t="s">
        <v>139</v>
      </c>
      <c r="H226" t="s">
        <v>139</v>
      </c>
    </row>
    <row r="227" spans="1:9" hidden="1" x14ac:dyDescent="0.25">
      <c r="A227">
        <v>218</v>
      </c>
      <c r="B227" t="s">
        <v>4</v>
      </c>
      <c r="C227" t="s">
        <v>139</v>
      </c>
      <c r="D227" t="s">
        <v>139</v>
      </c>
      <c r="E227" t="s">
        <v>139</v>
      </c>
      <c r="F227" t="s">
        <v>139</v>
      </c>
      <c r="G227" t="s">
        <v>139</v>
      </c>
      <c r="H227" t="s">
        <v>139</v>
      </c>
    </row>
    <row r="228" spans="1:9" hidden="1" x14ac:dyDescent="0.25">
      <c r="A228">
        <v>219</v>
      </c>
      <c r="B228" t="s">
        <v>4</v>
      </c>
      <c r="C228" t="s">
        <v>139</v>
      </c>
      <c r="D228" t="s">
        <v>139</v>
      </c>
      <c r="E228" t="s">
        <v>139</v>
      </c>
      <c r="F228" t="s">
        <v>139</v>
      </c>
      <c r="G228" t="s">
        <v>139</v>
      </c>
      <c r="H228" t="s">
        <v>903</v>
      </c>
      <c r="I228" t="str">
        <f>_xlfn.XLOOKUP(H228,'SO-DIMM-i9'!A:A,'SO-DIMM-i9'!B:B,_xlfn.XLOOKUP(H228,'SO-DIMM-i9'!H:H,'SO-DIMM-i9'!G:G,""))</f>
        <v/>
      </c>
    </row>
    <row r="229" spans="1:9" hidden="1" x14ac:dyDescent="0.25">
      <c r="A229">
        <v>220</v>
      </c>
      <c r="B229" t="s">
        <v>4</v>
      </c>
      <c r="C229" t="s">
        <v>139</v>
      </c>
      <c r="D229" t="s">
        <v>139</v>
      </c>
      <c r="E229" t="s">
        <v>139</v>
      </c>
      <c r="F229" t="s">
        <v>139</v>
      </c>
      <c r="G229" t="s">
        <v>139</v>
      </c>
      <c r="H229" t="s">
        <v>139</v>
      </c>
    </row>
    <row r="230" spans="1:9" hidden="1" x14ac:dyDescent="0.25">
      <c r="A230">
        <v>221</v>
      </c>
      <c r="B230" t="s">
        <v>4</v>
      </c>
      <c r="C230" t="s">
        <v>139</v>
      </c>
      <c r="D230" t="s">
        <v>139</v>
      </c>
      <c r="E230" t="s">
        <v>139</v>
      </c>
      <c r="F230" t="s">
        <v>139</v>
      </c>
      <c r="G230" t="s">
        <v>139</v>
      </c>
      <c r="H230" t="s">
        <v>911</v>
      </c>
      <c r="I230" t="str">
        <f>_xlfn.XLOOKUP(H230,'SO-DIMM-i9'!A:A,'SO-DIMM-i9'!B:B,_xlfn.XLOOKUP(H230,'SO-DIMM-i9'!H:H,'SO-DIMM-i9'!G:G,""))</f>
        <v/>
      </c>
    </row>
    <row r="231" spans="1:9" hidden="1" x14ac:dyDescent="0.25">
      <c r="A231">
        <v>222</v>
      </c>
      <c r="B231" t="s">
        <v>4</v>
      </c>
      <c r="C231" t="s">
        <v>139</v>
      </c>
      <c r="D231" t="s">
        <v>139</v>
      </c>
      <c r="E231" t="s">
        <v>139</v>
      </c>
      <c r="F231" t="s">
        <v>139</v>
      </c>
      <c r="G231" t="s">
        <v>139</v>
      </c>
      <c r="H231" t="s">
        <v>900</v>
      </c>
      <c r="I231" t="str">
        <f>_xlfn.XLOOKUP(H231,'SO-DIMM-i9'!A:A,'SO-DIMM-i9'!B:B,_xlfn.XLOOKUP(H231,'SO-DIMM-i9'!H:H,'SO-DIMM-i9'!G:G,""))</f>
        <v/>
      </c>
    </row>
    <row r="232" spans="1:9" hidden="1" x14ac:dyDescent="0.25">
      <c r="A232">
        <v>223</v>
      </c>
      <c r="B232" t="s">
        <v>4</v>
      </c>
      <c r="C232" t="s">
        <v>139</v>
      </c>
      <c r="D232" t="s">
        <v>139</v>
      </c>
      <c r="E232" t="s">
        <v>139</v>
      </c>
      <c r="F232" t="s">
        <v>139</v>
      </c>
      <c r="G232" t="s">
        <v>139</v>
      </c>
      <c r="H232" t="s">
        <v>139</v>
      </c>
    </row>
    <row r="233" spans="1:9" hidden="1" x14ac:dyDescent="0.25">
      <c r="A233">
        <v>224</v>
      </c>
      <c r="B233" t="s">
        <v>4</v>
      </c>
      <c r="C233" t="s">
        <v>139</v>
      </c>
      <c r="D233" t="s">
        <v>139</v>
      </c>
      <c r="E233" t="s">
        <v>139</v>
      </c>
      <c r="F233" t="s">
        <v>139</v>
      </c>
      <c r="G233" t="s">
        <v>139</v>
      </c>
      <c r="H233" t="s">
        <v>139</v>
      </c>
    </row>
    <row r="234" spans="1:9" hidden="1" x14ac:dyDescent="0.25">
      <c r="A234">
        <v>225</v>
      </c>
      <c r="B234" t="s">
        <v>392</v>
      </c>
      <c r="C234" t="s">
        <v>139</v>
      </c>
      <c r="D234" t="s">
        <v>139</v>
      </c>
      <c r="E234" t="s">
        <v>139</v>
      </c>
      <c r="F234" t="s">
        <v>139</v>
      </c>
      <c r="G234" t="s">
        <v>139</v>
      </c>
      <c r="H234" t="s">
        <v>899</v>
      </c>
      <c r="I234" t="str">
        <f>_xlfn.XLOOKUP(H234,'SO-DIMM-i9'!A:A,'SO-DIMM-i9'!B:B,_xlfn.XLOOKUP(H234,'SO-DIMM-i9'!H:H,'SO-DIMM-i9'!G:G,""))</f>
        <v/>
      </c>
    </row>
    <row r="235" spans="1:9" hidden="1" x14ac:dyDescent="0.25">
      <c r="A235">
        <v>226</v>
      </c>
      <c r="B235" t="s">
        <v>4</v>
      </c>
      <c r="C235" t="s">
        <v>139</v>
      </c>
      <c r="D235" t="s">
        <v>139</v>
      </c>
      <c r="E235" t="s">
        <v>139</v>
      </c>
      <c r="F235" t="s">
        <v>139</v>
      </c>
      <c r="G235" t="s">
        <v>139</v>
      </c>
      <c r="H235" t="s">
        <v>908</v>
      </c>
      <c r="I235" t="str">
        <f>_xlfn.XLOOKUP(H235,'SO-DIMM-i9'!A:A,'SO-DIMM-i9'!B:B,_xlfn.XLOOKUP(H235,'SO-DIMM-i9'!H:H,'SO-DIMM-i9'!G:G,""))</f>
        <v/>
      </c>
    </row>
    <row r="236" spans="1:9" hidden="1" x14ac:dyDescent="0.25">
      <c r="A236">
        <v>227</v>
      </c>
      <c r="B236" t="s">
        <v>392</v>
      </c>
      <c r="C236" t="s">
        <v>139</v>
      </c>
      <c r="D236" t="s">
        <v>139</v>
      </c>
      <c r="E236" t="s">
        <v>139</v>
      </c>
      <c r="F236" t="s">
        <v>139</v>
      </c>
      <c r="G236" t="s">
        <v>139</v>
      </c>
      <c r="H236" t="s">
        <v>896</v>
      </c>
      <c r="I236" t="str">
        <f>_xlfn.XLOOKUP(H236,'SO-DIMM-i9'!A:A,'SO-DIMM-i9'!B:B,_xlfn.XLOOKUP(H236,'SO-DIMM-i9'!H:H,'SO-DIMM-i9'!G:G,""))</f>
        <v/>
      </c>
    </row>
    <row r="237" spans="1:9" hidden="1" x14ac:dyDescent="0.25">
      <c r="A237">
        <v>228</v>
      </c>
      <c r="B237" t="s">
        <v>4</v>
      </c>
      <c r="C237" t="s">
        <v>139</v>
      </c>
      <c r="D237" t="s">
        <v>139</v>
      </c>
      <c r="E237" t="s">
        <v>139</v>
      </c>
      <c r="F237" t="s">
        <v>139</v>
      </c>
      <c r="G237" t="s">
        <v>139</v>
      </c>
      <c r="H237" t="s">
        <v>139</v>
      </c>
    </row>
    <row r="238" spans="1:9" hidden="1" x14ac:dyDescent="0.25">
      <c r="A238">
        <v>229</v>
      </c>
      <c r="B238" t="s">
        <v>4</v>
      </c>
      <c r="C238" t="s">
        <v>139</v>
      </c>
      <c r="D238" t="s">
        <v>139</v>
      </c>
      <c r="E238" t="s">
        <v>139</v>
      </c>
      <c r="F238" t="s">
        <v>139</v>
      </c>
      <c r="G238" t="s">
        <v>139</v>
      </c>
      <c r="H238" t="s">
        <v>139</v>
      </c>
    </row>
    <row r="239" spans="1:9" hidden="1" x14ac:dyDescent="0.25">
      <c r="A239">
        <v>230</v>
      </c>
      <c r="B239" t="s">
        <v>392</v>
      </c>
      <c r="C239" t="s">
        <v>139</v>
      </c>
      <c r="D239" t="s">
        <v>139</v>
      </c>
      <c r="E239" t="s">
        <v>139</v>
      </c>
      <c r="F239" t="s">
        <v>139</v>
      </c>
      <c r="G239" t="s">
        <v>139</v>
      </c>
      <c r="H239" t="s">
        <v>139</v>
      </c>
    </row>
    <row r="240" spans="1:9" hidden="1" x14ac:dyDescent="0.25">
      <c r="A240">
        <v>231</v>
      </c>
      <c r="B240" t="s">
        <v>4</v>
      </c>
      <c r="C240" t="s">
        <v>139</v>
      </c>
      <c r="D240" t="s">
        <v>139</v>
      </c>
      <c r="E240" t="s">
        <v>139</v>
      </c>
      <c r="F240" t="s">
        <v>139</v>
      </c>
      <c r="G240" t="s">
        <v>139</v>
      </c>
      <c r="H240" t="s">
        <v>139</v>
      </c>
    </row>
    <row r="241" spans="1:9" hidden="1" x14ac:dyDescent="0.25">
      <c r="A241">
        <v>232</v>
      </c>
      <c r="B241" t="s">
        <v>392</v>
      </c>
      <c r="C241" t="s">
        <v>139</v>
      </c>
      <c r="D241" t="s">
        <v>139</v>
      </c>
      <c r="E241" t="s">
        <v>139</v>
      </c>
      <c r="F241" t="s">
        <v>139</v>
      </c>
      <c r="G241" t="s">
        <v>139</v>
      </c>
      <c r="H241" t="s">
        <v>139</v>
      </c>
    </row>
    <row r="242" spans="1:9" hidden="1" x14ac:dyDescent="0.25">
      <c r="A242">
        <v>233</v>
      </c>
      <c r="B242" t="s">
        <v>4</v>
      </c>
      <c r="C242" t="s">
        <v>139</v>
      </c>
      <c r="D242" t="s">
        <v>139</v>
      </c>
      <c r="E242" t="s">
        <v>139</v>
      </c>
      <c r="F242" t="s">
        <v>139</v>
      </c>
      <c r="G242" t="s">
        <v>139</v>
      </c>
      <c r="H242" t="s">
        <v>139</v>
      </c>
    </row>
    <row r="243" spans="1:9" hidden="1" x14ac:dyDescent="0.25">
      <c r="A243">
        <v>234</v>
      </c>
      <c r="B243" t="s">
        <v>4</v>
      </c>
      <c r="C243" t="s">
        <v>139</v>
      </c>
      <c r="D243" t="s">
        <v>139</v>
      </c>
      <c r="E243" t="s">
        <v>139</v>
      </c>
      <c r="F243" t="s">
        <v>139</v>
      </c>
      <c r="G243" t="s">
        <v>139</v>
      </c>
      <c r="H243" t="s">
        <v>139</v>
      </c>
    </row>
    <row r="244" spans="1:9" hidden="1" x14ac:dyDescent="0.25">
      <c r="A244">
        <v>235</v>
      </c>
      <c r="B244" t="s">
        <v>4</v>
      </c>
      <c r="C244" t="s">
        <v>139</v>
      </c>
      <c r="D244" t="s">
        <v>139</v>
      </c>
      <c r="E244" t="s">
        <v>139</v>
      </c>
      <c r="F244" t="s">
        <v>139</v>
      </c>
      <c r="G244" t="s">
        <v>139</v>
      </c>
      <c r="H244" t="s">
        <v>894</v>
      </c>
      <c r="I244" t="str">
        <f>_xlfn.XLOOKUP(H244,'SO-DIMM-i9'!A:A,'SO-DIMM-i9'!B:B,_xlfn.XLOOKUP(H244,'SO-DIMM-i9'!H:H,'SO-DIMM-i9'!G:G,""))</f>
        <v/>
      </c>
    </row>
    <row r="245" spans="1:9" hidden="1" x14ac:dyDescent="0.25">
      <c r="A245">
        <v>236</v>
      </c>
      <c r="B245" t="s">
        <v>4</v>
      </c>
      <c r="C245" t="s">
        <v>139</v>
      </c>
      <c r="D245" t="s">
        <v>139</v>
      </c>
      <c r="E245" t="s">
        <v>139</v>
      </c>
      <c r="F245" t="s">
        <v>139</v>
      </c>
      <c r="G245" t="s">
        <v>139</v>
      </c>
      <c r="H245" t="s">
        <v>139</v>
      </c>
    </row>
    <row r="246" spans="1:9" hidden="1" x14ac:dyDescent="0.25">
      <c r="A246">
        <v>237</v>
      </c>
      <c r="B246" t="s">
        <v>4</v>
      </c>
      <c r="C246" t="s">
        <v>139</v>
      </c>
      <c r="D246" t="s">
        <v>139</v>
      </c>
      <c r="E246" t="s">
        <v>139</v>
      </c>
      <c r="F246" t="s">
        <v>139</v>
      </c>
      <c r="G246" t="s">
        <v>139</v>
      </c>
      <c r="H246" t="s">
        <v>893</v>
      </c>
      <c r="I246" t="str">
        <f>_xlfn.XLOOKUP(H246,'SO-DIMM-i9'!A:A,'SO-DIMM-i9'!B:B,_xlfn.XLOOKUP(H246,'SO-DIMM-i9'!H:H,'SO-DIMM-i9'!G:G,""))</f>
        <v/>
      </c>
    </row>
    <row r="247" spans="1:9" hidden="1" x14ac:dyDescent="0.25">
      <c r="A247">
        <v>238</v>
      </c>
      <c r="B247" t="s">
        <v>4</v>
      </c>
      <c r="C247" t="s">
        <v>139</v>
      </c>
      <c r="D247" t="s">
        <v>139</v>
      </c>
      <c r="E247" t="s">
        <v>139</v>
      </c>
      <c r="F247" t="s">
        <v>139</v>
      </c>
      <c r="G247" t="s">
        <v>139</v>
      </c>
      <c r="H247" t="s">
        <v>139</v>
      </c>
    </row>
    <row r="248" spans="1:9" hidden="1" x14ac:dyDescent="0.25">
      <c r="A248">
        <v>239</v>
      </c>
      <c r="B248" t="s">
        <v>161</v>
      </c>
      <c r="C248" t="s">
        <v>139</v>
      </c>
      <c r="D248" t="s">
        <v>139</v>
      </c>
      <c r="E248" t="s">
        <v>139</v>
      </c>
      <c r="F248" t="s">
        <v>139</v>
      </c>
      <c r="G248" t="s">
        <v>139</v>
      </c>
      <c r="H248" t="s">
        <v>139</v>
      </c>
    </row>
    <row r="249" spans="1:9" hidden="1" x14ac:dyDescent="0.25">
      <c r="A249">
        <v>240</v>
      </c>
      <c r="B249" t="s">
        <v>167</v>
      </c>
      <c r="C249" t="s">
        <v>139</v>
      </c>
      <c r="D249" t="s">
        <v>139</v>
      </c>
      <c r="E249" t="s">
        <v>139</v>
      </c>
      <c r="F249" t="s">
        <v>139</v>
      </c>
      <c r="G249" t="s">
        <v>139</v>
      </c>
      <c r="H249" t="s">
        <v>139</v>
      </c>
    </row>
    <row r="250" spans="1:9" hidden="1" x14ac:dyDescent="0.25">
      <c r="A250">
        <v>241</v>
      </c>
      <c r="B250" t="s">
        <v>167</v>
      </c>
      <c r="C250" t="s">
        <v>139</v>
      </c>
      <c r="D250" t="s">
        <v>139</v>
      </c>
      <c r="E250" t="s">
        <v>139</v>
      </c>
      <c r="F250" t="s">
        <v>139</v>
      </c>
      <c r="G250" t="s">
        <v>139</v>
      </c>
      <c r="H250" t="s">
        <v>139</v>
      </c>
    </row>
    <row r="251" spans="1:9" hidden="1" x14ac:dyDescent="0.25">
      <c r="A251">
        <v>242</v>
      </c>
      <c r="B251" t="s">
        <v>12</v>
      </c>
      <c r="C251" t="s">
        <v>139</v>
      </c>
      <c r="D251" t="s">
        <v>139</v>
      </c>
      <c r="E251" t="s">
        <v>139</v>
      </c>
      <c r="F251" t="s">
        <v>139</v>
      </c>
      <c r="G251" t="s">
        <v>139</v>
      </c>
      <c r="H251" t="s">
        <v>139</v>
      </c>
    </row>
    <row r="252" spans="1:9" hidden="1" x14ac:dyDescent="0.25">
      <c r="A252">
        <v>243</v>
      </c>
      <c r="B252" t="s">
        <v>12</v>
      </c>
      <c r="C252" t="s">
        <v>139</v>
      </c>
      <c r="D252" t="s">
        <v>139</v>
      </c>
      <c r="E252" t="s">
        <v>139</v>
      </c>
      <c r="F252" t="s">
        <v>139</v>
      </c>
      <c r="G252" t="s">
        <v>139</v>
      </c>
      <c r="H252" t="s">
        <v>139</v>
      </c>
    </row>
    <row r="253" spans="1:9" x14ac:dyDescent="0.25">
      <c r="A253">
        <v>244</v>
      </c>
      <c r="B253" t="s">
        <v>997</v>
      </c>
      <c r="C253">
        <v>3</v>
      </c>
      <c r="D253" t="s">
        <v>410</v>
      </c>
      <c r="E253" t="s">
        <v>998</v>
      </c>
      <c r="F253" t="s">
        <v>139</v>
      </c>
      <c r="G253" t="s">
        <v>999</v>
      </c>
      <c r="H253" t="s">
        <v>52</v>
      </c>
      <c r="I253">
        <f>_xlfn.XLOOKUP(H253,'SO-DIMM-i9'!A:A,'SO-DIMM-i9'!B:B,_xlfn.XLOOKUP(H253,'SO-DIMM-i9'!H:H,'SO-DIMM-i9'!G:G,""))</f>
        <v>67</v>
      </c>
    </row>
    <row r="254" spans="1:9" hidden="1" x14ac:dyDescent="0.25">
      <c r="A254">
        <v>245</v>
      </c>
      <c r="B254" t="s">
        <v>1000</v>
      </c>
      <c r="C254">
        <v>3</v>
      </c>
      <c r="D254" t="s">
        <v>414</v>
      </c>
      <c r="E254" t="s">
        <v>1001</v>
      </c>
      <c r="F254" t="s">
        <v>139</v>
      </c>
      <c r="G254" t="s">
        <v>999</v>
      </c>
      <c r="H254" t="s">
        <v>32</v>
      </c>
      <c r="I254" t="str">
        <f>_xlfn.XLOOKUP(H254,'SO-DIMM-i9'!A:A,'SO-DIMM-i9'!B:B,_xlfn.XLOOKUP(H254,'SO-DIMM-i9'!H:H,'SO-DIMM-i9'!G:G,""))</f>
        <v/>
      </c>
    </row>
    <row r="255" spans="1:9" hidden="1" x14ac:dyDescent="0.25">
      <c r="A255">
        <v>246</v>
      </c>
      <c r="B255" t="s">
        <v>416</v>
      </c>
      <c r="C255" t="s">
        <v>139</v>
      </c>
      <c r="D255" t="s">
        <v>139</v>
      </c>
      <c r="E255" t="s">
        <v>139</v>
      </c>
      <c r="F255" t="s">
        <v>139</v>
      </c>
      <c r="G255" t="s">
        <v>139</v>
      </c>
      <c r="H255" t="s">
        <v>139</v>
      </c>
    </row>
    <row r="256" spans="1:9" x14ac:dyDescent="0.25">
      <c r="A256">
        <v>247</v>
      </c>
      <c r="B256" t="s">
        <v>1002</v>
      </c>
      <c r="C256">
        <v>3</v>
      </c>
      <c r="D256" t="s">
        <v>139</v>
      </c>
      <c r="E256" t="s">
        <v>1003</v>
      </c>
      <c r="F256" t="b">
        <v>1</v>
      </c>
      <c r="G256" t="s">
        <v>999</v>
      </c>
      <c r="H256" t="s">
        <v>56</v>
      </c>
      <c r="I256">
        <f>_xlfn.XLOOKUP(H256,'SO-DIMM-i9'!A:A,'SO-DIMM-i9'!B:B,_xlfn.XLOOKUP(H256,'SO-DIMM-i9'!H:H,'SO-DIMM-i9'!G:G,""))</f>
        <v>71</v>
      </c>
    </row>
    <row r="257" spans="1:9" hidden="1" x14ac:dyDescent="0.25">
      <c r="A257">
        <v>248</v>
      </c>
      <c r="B257" t="s">
        <v>419</v>
      </c>
      <c r="C257" t="s">
        <v>139</v>
      </c>
      <c r="D257" t="s">
        <v>139</v>
      </c>
      <c r="E257" t="s">
        <v>139</v>
      </c>
      <c r="F257" t="s">
        <v>139</v>
      </c>
      <c r="G257" t="s">
        <v>139</v>
      </c>
      <c r="H257" t="s">
        <v>139</v>
      </c>
    </row>
    <row r="258" spans="1:9" x14ac:dyDescent="0.25">
      <c r="A258">
        <v>249</v>
      </c>
      <c r="B258" t="s">
        <v>1004</v>
      </c>
      <c r="C258">
        <v>3</v>
      </c>
      <c r="D258" t="s">
        <v>139</v>
      </c>
      <c r="E258" t="s">
        <v>1005</v>
      </c>
      <c r="F258" t="b">
        <v>1</v>
      </c>
      <c r="G258" t="s">
        <v>999</v>
      </c>
      <c r="H258" t="s">
        <v>54</v>
      </c>
      <c r="I258">
        <f>_xlfn.XLOOKUP(H258,'SO-DIMM-i9'!A:A,'SO-DIMM-i9'!B:B,_xlfn.XLOOKUP(H258,'SO-DIMM-i9'!H:H,'SO-DIMM-i9'!G:G,""))</f>
        <v>69</v>
      </c>
    </row>
    <row r="259" spans="1:9" x14ac:dyDescent="0.25">
      <c r="A259">
        <v>250</v>
      </c>
      <c r="B259" t="s">
        <v>1006</v>
      </c>
      <c r="C259">
        <v>3</v>
      </c>
      <c r="D259" t="s">
        <v>139</v>
      </c>
      <c r="E259" t="s">
        <v>1007</v>
      </c>
      <c r="F259" t="s">
        <v>139</v>
      </c>
      <c r="G259" t="s">
        <v>999</v>
      </c>
      <c r="H259" t="s">
        <v>42</v>
      </c>
      <c r="I259">
        <f>_xlfn.XLOOKUP(H259,'SO-DIMM-i9'!A:A,'SO-DIMM-i9'!B:B,_xlfn.XLOOKUP(H259,'SO-DIMM-i9'!H:H,'SO-DIMM-i9'!G:G,""))</f>
        <v>57</v>
      </c>
    </row>
    <row r="260" spans="1:9" hidden="1" x14ac:dyDescent="0.25">
      <c r="A260">
        <v>251</v>
      </c>
      <c r="B260" t="s">
        <v>161</v>
      </c>
      <c r="C260" t="s">
        <v>139</v>
      </c>
      <c r="D260" t="s">
        <v>139</v>
      </c>
      <c r="E260" t="s">
        <v>139</v>
      </c>
      <c r="F260" t="s">
        <v>139</v>
      </c>
      <c r="G260" t="s">
        <v>139</v>
      </c>
      <c r="H260" t="s">
        <v>139</v>
      </c>
    </row>
    <row r="261" spans="1:9" x14ac:dyDescent="0.25">
      <c r="A261">
        <v>252</v>
      </c>
      <c r="B261" t="s">
        <v>1008</v>
      </c>
      <c r="C261">
        <v>3</v>
      </c>
      <c r="D261" t="s">
        <v>139</v>
      </c>
      <c r="E261" t="s">
        <v>1009</v>
      </c>
      <c r="F261" t="b">
        <v>1</v>
      </c>
      <c r="G261" t="s">
        <v>1010</v>
      </c>
      <c r="H261" t="s">
        <v>44</v>
      </c>
      <c r="I261">
        <f>_xlfn.XLOOKUP(H261,'SO-DIMM-i9'!A:A,'SO-DIMM-i9'!B:B,_xlfn.XLOOKUP(H261,'SO-DIMM-i9'!H:H,'SO-DIMM-i9'!G:G,""))</f>
        <v>59</v>
      </c>
    </row>
    <row r="262" spans="1:9" hidden="1" x14ac:dyDescent="0.25">
      <c r="A262">
        <v>253</v>
      </c>
      <c r="B262" t="s">
        <v>1011</v>
      </c>
      <c r="C262">
        <v>3</v>
      </c>
      <c r="D262" t="s">
        <v>139</v>
      </c>
      <c r="E262" t="s">
        <v>1012</v>
      </c>
      <c r="F262" t="s">
        <v>139</v>
      </c>
      <c r="G262" t="s">
        <v>999</v>
      </c>
      <c r="H262" t="s">
        <v>429</v>
      </c>
      <c r="I262" t="str">
        <f>_xlfn.XLOOKUP(H262,'SO-DIMM-i9'!A:A,'SO-DIMM-i9'!B:B,_xlfn.XLOOKUP(H262,'SO-DIMM-i9'!H:H,'SO-DIMM-i9'!G:G,""))</f>
        <v/>
      </c>
    </row>
    <row r="263" spans="1:9" hidden="1" x14ac:dyDescent="0.25">
      <c r="A263">
        <v>254</v>
      </c>
      <c r="B263" t="s">
        <v>167</v>
      </c>
      <c r="C263" t="s">
        <v>139</v>
      </c>
      <c r="D263" t="s">
        <v>139</v>
      </c>
      <c r="E263" t="s">
        <v>139</v>
      </c>
      <c r="F263" t="s">
        <v>139</v>
      </c>
      <c r="G263" t="s">
        <v>139</v>
      </c>
      <c r="H263" t="s">
        <v>139</v>
      </c>
    </row>
    <row r="264" spans="1:9" hidden="1" x14ac:dyDescent="0.25">
      <c r="A264">
        <v>255</v>
      </c>
      <c r="B264" t="s">
        <v>1013</v>
      </c>
      <c r="C264">
        <v>3</v>
      </c>
      <c r="D264" t="s">
        <v>139</v>
      </c>
      <c r="E264" t="s">
        <v>1014</v>
      </c>
      <c r="F264" t="b">
        <v>1</v>
      </c>
      <c r="G264" t="s">
        <v>1015</v>
      </c>
      <c r="H264" t="s">
        <v>433</v>
      </c>
      <c r="I264" t="str">
        <f>_xlfn.XLOOKUP(H264,'SO-DIMM-i9'!A:A,'SO-DIMM-i9'!B:B,_xlfn.XLOOKUP(H264,'SO-DIMM-i9'!H:H,'SO-DIMM-i9'!G:G,""))</f>
        <v/>
      </c>
    </row>
    <row r="265" spans="1:9" hidden="1" x14ac:dyDescent="0.25">
      <c r="A265">
        <v>256</v>
      </c>
      <c r="B265" t="s">
        <v>1016</v>
      </c>
      <c r="C265">
        <v>3</v>
      </c>
      <c r="D265" t="s">
        <v>139</v>
      </c>
      <c r="E265" t="s">
        <v>1017</v>
      </c>
      <c r="F265" t="s">
        <v>139</v>
      </c>
      <c r="G265" t="s">
        <v>999</v>
      </c>
      <c r="H265" t="s">
        <v>436</v>
      </c>
      <c r="I265" t="str">
        <f>_xlfn.XLOOKUP(H265,'SO-DIMM-i9'!A:A,'SO-DIMM-i9'!B:B,_xlfn.XLOOKUP(H265,'SO-DIMM-i9'!H:H,'SO-DIMM-i9'!G:G,""))</f>
        <v/>
      </c>
    </row>
    <row r="266" spans="1:9" hidden="1" x14ac:dyDescent="0.25">
      <c r="A266">
        <v>257</v>
      </c>
      <c r="B266" t="s">
        <v>161</v>
      </c>
      <c r="C266" t="s">
        <v>139</v>
      </c>
      <c r="D266" t="s">
        <v>139</v>
      </c>
      <c r="E266" t="s">
        <v>139</v>
      </c>
      <c r="F266" t="s">
        <v>139</v>
      </c>
      <c r="G266" t="s">
        <v>139</v>
      </c>
      <c r="H266" t="s">
        <v>139</v>
      </c>
    </row>
    <row r="267" spans="1:9" hidden="1" x14ac:dyDescent="0.25">
      <c r="A267">
        <v>258</v>
      </c>
      <c r="B267" t="s">
        <v>1018</v>
      </c>
      <c r="C267">
        <v>3</v>
      </c>
      <c r="D267" t="s">
        <v>139</v>
      </c>
      <c r="E267" t="s">
        <v>1019</v>
      </c>
      <c r="F267" t="b">
        <v>1</v>
      </c>
      <c r="G267" t="s">
        <v>999</v>
      </c>
      <c r="H267" t="s">
        <v>439</v>
      </c>
      <c r="I267" t="str">
        <f>_xlfn.XLOOKUP(H267,'SO-DIMM-i9'!A:A,'SO-DIMM-i9'!B:B,_xlfn.XLOOKUP(H267,'SO-DIMM-i9'!H:H,'SO-DIMM-i9'!G:G,""))</f>
        <v/>
      </c>
    </row>
    <row r="268" spans="1:9" hidden="1" x14ac:dyDescent="0.25">
      <c r="A268">
        <v>259</v>
      </c>
      <c r="B268" t="s">
        <v>1020</v>
      </c>
      <c r="C268">
        <v>3</v>
      </c>
      <c r="D268" t="s">
        <v>139</v>
      </c>
      <c r="E268" t="s">
        <v>1021</v>
      </c>
      <c r="F268" t="s">
        <v>139</v>
      </c>
      <c r="G268" t="s">
        <v>999</v>
      </c>
      <c r="H268" t="s">
        <v>442</v>
      </c>
      <c r="I268" t="str">
        <f>_xlfn.XLOOKUP(H268,'SO-DIMM-i9'!A:A,'SO-DIMM-i9'!B:B,_xlfn.XLOOKUP(H268,'SO-DIMM-i9'!H:H,'SO-DIMM-i9'!G:G,""))</f>
        <v/>
      </c>
    </row>
    <row r="269" spans="1:9" hidden="1" x14ac:dyDescent="0.25">
      <c r="A269">
        <v>260</v>
      </c>
      <c r="B269" t="s">
        <v>156</v>
      </c>
      <c r="C269" t="s">
        <v>139</v>
      </c>
      <c r="D269" t="s">
        <v>139</v>
      </c>
      <c r="E269" t="s">
        <v>139</v>
      </c>
      <c r="F269" t="s">
        <v>139</v>
      </c>
      <c r="G269" t="s">
        <v>139</v>
      </c>
      <c r="H269" t="s">
        <v>139</v>
      </c>
    </row>
    <row r="270" spans="1:9" hidden="1" x14ac:dyDescent="0.25">
      <c r="A270">
        <v>261</v>
      </c>
      <c r="B270" t="s">
        <v>1022</v>
      </c>
      <c r="C270">
        <v>3</v>
      </c>
      <c r="D270" t="s">
        <v>139</v>
      </c>
      <c r="E270" t="s">
        <v>1023</v>
      </c>
      <c r="F270" t="b">
        <v>1</v>
      </c>
      <c r="G270" t="s">
        <v>999</v>
      </c>
      <c r="H270" t="s">
        <v>445</v>
      </c>
      <c r="I270" t="str">
        <f>_xlfn.XLOOKUP(H270,'SO-DIMM-i9'!A:A,'SO-DIMM-i9'!B:B,_xlfn.XLOOKUP(H270,'SO-DIMM-i9'!H:H,'SO-DIMM-i9'!G:G,""))</f>
        <v/>
      </c>
    </row>
    <row r="271" spans="1:9" x14ac:dyDescent="0.25">
      <c r="A271">
        <v>262</v>
      </c>
      <c r="B271" t="s">
        <v>1024</v>
      </c>
      <c r="C271">
        <v>3</v>
      </c>
      <c r="D271" t="s">
        <v>139</v>
      </c>
      <c r="E271" t="s">
        <v>1025</v>
      </c>
      <c r="F271" t="s">
        <v>139</v>
      </c>
      <c r="G271" t="s">
        <v>999</v>
      </c>
      <c r="H271" t="s">
        <v>58</v>
      </c>
      <c r="I271">
        <f>_xlfn.XLOOKUP(H271,'SO-DIMM-i9'!A:A,'SO-DIMM-i9'!B:B,_xlfn.XLOOKUP(H271,'SO-DIMM-i9'!H:H,'SO-DIMM-i9'!G:G,""))</f>
        <v>73</v>
      </c>
    </row>
    <row r="272" spans="1:9" hidden="1" x14ac:dyDescent="0.25">
      <c r="A272">
        <v>263</v>
      </c>
      <c r="B272" t="s">
        <v>416</v>
      </c>
      <c r="C272" t="s">
        <v>139</v>
      </c>
      <c r="D272" t="s">
        <v>139</v>
      </c>
      <c r="E272" t="s">
        <v>139</v>
      </c>
      <c r="F272" t="s">
        <v>139</v>
      </c>
      <c r="G272" t="s">
        <v>139</v>
      </c>
      <c r="H272" t="s">
        <v>139</v>
      </c>
    </row>
    <row r="273" spans="1:9" hidden="1" x14ac:dyDescent="0.25">
      <c r="A273">
        <v>264</v>
      </c>
      <c r="B273" t="s">
        <v>1026</v>
      </c>
      <c r="C273">
        <v>3</v>
      </c>
      <c r="D273" t="s">
        <v>139</v>
      </c>
      <c r="E273" t="s">
        <v>1027</v>
      </c>
      <c r="F273" t="b">
        <v>1</v>
      </c>
      <c r="G273" t="s">
        <v>999</v>
      </c>
      <c r="H273" t="s">
        <v>450</v>
      </c>
      <c r="I273" t="str">
        <f>_xlfn.XLOOKUP(H273,'SO-DIMM-i9'!A:A,'SO-DIMM-i9'!B:B,_xlfn.XLOOKUP(H273,'SO-DIMM-i9'!H:H,'SO-DIMM-i9'!G:G,""))</f>
        <v/>
      </c>
    </row>
    <row r="274" spans="1:9" hidden="1" x14ac:dyDescent="0.25">
      <c r="A274">
        <v>265</v>
      </c>
      <c r="B274" t="s">
        <v>1028</v>
      </c>
      <c r="C274">
        <v>3</v>
      </c>
      <c r="D274" t="s">
        <v>139</v>
      </c>
      <c r="E274" t="s">
        <v>1029</v>
      </c>
      <c r="F274" t="s">
        <v>139</v>
      </c>
      <c r="G274" t="s">
        <v>999</v>
      </c>
      <c r="H274" t="s">
        <v>453</v>
      </c>
      <c r="I274" t="str">
        <f>_xlfn.XLOOKUP(H274,'SO-DIMM-i9'!A:A,'SO-DIMM-i9'!B:B,_xlfn.XLOOKUP(H274,'SO-DIMM-i9'!H:H,'SO-DIMM-i9'!G:G,""))</f>
        <v/>
      </c>
    </row>
    <row r="275" spans="1:9" hidden="1" x14ac:dyDescent="0.25">
      <c r="A275">
        <v>266</v>
      </c>
      <c r="B275" t="s">
        <v>419</v>
      </c>
      <c r="C275" t="s">
        <v>139</v>
      </c>
      <c r="D275" t="s">
        <v>139</v>
      </c>
      <c r="E275" t="s">
        <v>139</v>
      </c>
      <c r="F275" t="s">
        <v>139</v>
      </c>
      <c r="G275" t="s">
        <v>139</v>
      </c>
      <c r="H275" t="s">
        <v>139</v>
      </c>
    </row>
    <row r="276" spans="1:9" hidden="1" x14ac:dyDescent="0.25">
      <c r="A276">
        <v>267</v>
      </c>
      <c r="B276" t="s">
        <v>1030</v>
      </c>
      <c r="C276">
        <v>3</v>
      </c>
      <c r="D276" t="s">
        <v>139</v>
      </c>
      <c r="E276" t="s">
        <v>1031</v>
      </c>
      <c r="F276" t="b">
        <v>1</v>
      </c>
      <c r="G276" t="s">
        <v>999</v>
      </c>
      <c r="H276" t="s">
        <v>456</v>
      </c>
      <c r="I276" t="str">
        <f>_xlfn.XLOOKUP(H276,'SO-DIMM-i9'!A:A,'SO-DIMM-i9'!B:B,_xlfn.XLOOKUP(H276,'SO-DIMM-i9'!H:H,'SO-DIMM-i9'!G:G,""))</f>
        <v/>
      </c>
    </row>
    <row r="277" spans="1:9" hidden="1" x14ac:dyDescent="0.25">
      <c r="A277">
        <v>268</v>
      </c>
      <c r="B277" t="s">
        <v>1032</v>
      </c>
      <c r="C277">
        <v>3</v>
      </c>
      <c r="D277" t="s">
        <v>139</v>
      </c>
      <c r="E277" t="s">
        <v>1033</v>
      </c>
      <c r="F277" t="s">
        <v>139</v>
      </c>
      <c r="G277" t="s">
        <v>1034</v>
      </c>
      <c r="H277" t="s">
        <v>139</v>
      </c>
    </row>
    <row r="278" spans="1:9" hidden="1" x14ac:dyDescent="0.25">
      <c r="A278">
        <v>269</v>
      </c>
      <c r="B278" t="s">
        <v>416</v>
      </c>
      <c r="C278" t="s">
        <v>139</v>
      </c>
      <c r="D278" t="s">
        <v>139</v>
      </c>
      <c r="E278" t="s">
        <v>139</v>
      </c>
      <c r="F278" t="s">
        <v>139</v>
      </c>
      <c r="G278" t="s">
        <v>139</v>
      </c>
      <c r="H278" t="s">
        <v>139</v>
      </c>
    </row>
    <row r="279" spans="1:9" hidden="1" x14ac:dyDescent="0.25">
      <c r="A279">
        <v>270</v>
      </c>
      <c r="B279" t="s">
        <v>1035</v>
      </c>
      <c r="C279">
        <v>3</v>
      </c>
      <c r="D279" t="s">
        <v>139</v>
      </c>
      <c r="E279" t="s">
        <v>1036</v>
      </c>
      <c r="F279" t="b">
        <v>1</v>
      </c>
      <c r="G279" t="s">
        <v>1034</v>
      </c>
      <c r="H279" t="s">
        <v>139</v>
      </c>
    </row>
    <row r="280" spans="1:9" hidden="1" x14ac:dyDescent="0.25">
      <c r="A280">
        <v>271</v>
      </c>
      <c r="B280" t="s">
        <v>1037</v>
      </c>
      <c r="C280">
        <v>3</v>
      </c>
      <c r="D280" t="s">
        <v>139</v>
      </c>
      <c r="E280" t="s">
        <v>1038</v>
      </c>
      <c r="F280" t="s">
        <v>139</v>
      </c>
      <c r="G280" t="s">
        <v>1034</v>
      </c>
      <c r="H280" t="s">
        <v>139</v>
      </c>
    </row>
    <row r="281" spans="1:9" hidden="1" x14ac:dyDescent="0.25">
      <c r="A281">
        <v>272</v>
      </c>
      <c r="B281" t="s">
        <v>419</v>
      </c>
      <c r="C281" t="s">
        <v>139</v>
      </c>
      <c r="D281" t="s">
        <v>139</v>
      </c>
      <c r="E281" t="s">
        <v>139</v>
      </c>
      <c r="F281" t="s">
        <v>139</v>
      </c>
      <c r="G281" t="s">
        <v>139</v>
      </c>
      <c r="H281" t="s">
        <v>139</v>
      </c>
    </row>
    <row r="282" spans="1:9" hidden="1" x14ac:dyDescent="0.25">
      <c r="A282">
        <v>273</v>
      </c>
      <c r="B282" t="s">
        <v>1039</v>
      </c>
      <c r="C282">
        <v>3</v>
      </c>
      <c r="D282" t="s">
        <v>139</v>
      </c>
      <c r="E282" t="s">
        <v>1040</v>
      </c>
      <c r="F282" t="b">
        <v>1</v>
      </c>
      <c r="G282" t="s">
        <v>1034</v>
      </c>
      <c r="H282" t="s">
        <v>139</v>
      </c>
    </row>
    <row r="283" spans="1:9" hidden="1" x14ac:dyDescent="0.25">
      <c r="A283">
        <v>274</v>
      </c>
      <c r="B283" t="s">
        <v>1041</v>
      </c>
      <c r="C283">
        <v>3</v>
      </c>
      <c r="D283" t="s">
        <v>139</v>
      </c>
      <c r="E283" t="s">
        <v>1042</v>
      </c>
      <c r="F283" t="s">
        <v>139</v>
      </c>
      <c r="G283" t="s">
        <v>1034</v>
      </c>
      <c r="H283" t="s">
        <v>139</v>
      </c>
    </row>
    <row r="284" spans="1:9" hidden="1" x14ac:dyDescent="0.25">
      <c r="A284">
        <v>275</v>
      </c>
      <c r="B284" t="s">
        <v>161</v>
      </c>
      <c r="C284" t="s">
        <v>139</v>
      </c>
      <c r="D284" t="s">
        <v>139</v>
      </c>
      <c r="E284" t="s">
        <v>139</v>
      </c>
      <c r="F284" t="s">
        <v>139</v>
      </c>
      <c r="G284" t="s">
        <v>139</v>
      </c>
      <c r="H284" t="s">
        <v>139</v>
      </c>
    </row>
    <row r="285" spans="1:9" hidden="1" x14ac:dyDescent="0.25">
      <c r="A285">
        <v>276</v>
      </c>
      <c r="B285" t="s">
        <v>1043</v>
      </c>
      <c r="C285">
        <v>3</v>
      </c>
      <c r="D285" t="s">
        <v>139</v>
      </c>
      <c r="E285" t="s">
        <v>1044</v>
      </c>
      <c r="F285" t="b">
        <v>1</v>
      </c>
      <c r="G285" t="s">
        <v>1045</v>
      </c>
      <c r="H285" t="s">
        <v>139</v>
      </c>
    </row>
    <row r="286" spans="1:9" hidden="1" x14ac:dyDescent="0.25">
      <c r="A286">
        <v>277</v>
      </c>
      <c r="B286" t="s">
        <v>1046</v>
      </c>
      <c r="C286">
        <v>3</v>
      </c>
      <c r="D286" t="s">
        <v>139</v>
      </c>
      <c r="E286" t="s">
        <v>1047</v>
      </c>
      <c r="F286" t="s">
        <v>139</v>
      </c>
      <c r="G286" t="s">
        <v>1034</v>
      </c>
      <c r="H286" t="s">
        <v>139</v>
      </c>
    </row>
    <row r="287" spans="1:9" hidden="1" x14ac:dyDescent="0.25">
      <c r="A287">
        <v>278</v>
      </c>
      <c r="B287" t="s">
        <v>167</v>
      </c>
      <c r="C287" t="s">
        <v>139</v>
      </c>
      <c r="D287" t="s">
        <v>139</v>
      </c>
      <c r="E287" t="s">
        <v>139</v>
      </c>
      <c r="F287" t="s">
        <v>139</v>
      </c>
      <c r="G287" t="s">
        <v>139</v>
      </c>
      <c r="H287" t="s">
        <v>139</v>
      </c>
    </row>
    <row r="288" spans="1:9" hidden="1" x14ac:dyDescent="0.25">
      <c r="A288">
        <v>279</v>
      </c>
      <c r="B288" t="s">
        <v>1048</v>
      </c>
      <c r="C288">
        <v>3</v>
      </c>
      <c r="D288" t="s">
        <v>139</v>
      </c>
      <c r="E288" t="s">
        <v>1049</v>
      </c>
      <c r="F288" t="b">
        <v>1</v>
      </c>
      <c r="G288" t="s">
        <v>1050</v>
      </c>
      <c r="H288" t="s">
        <v>902</v>
      </c>
      <c r="I288" t="str">
        <f>_xlfn.XLOOKUP(H288,'SO-DIMM-i9'!A:A,'SO-DIMM-i9'!B:B,_xlfn.XLOOKUP(H288,'SO-DIMM-i9'!H:H,'SO-DIMM-i9'!G:G,""))</f>
        <v/>
      </c>
    </row>
    <row r="289" spans="1:9" hidden="1" x14ac:dyDescent="0.25">
      <c r="A289">
        <v>280</v>
      </c>
      <c r="B289" t="s">
        <v>1051</v>
      </c>
      <c r="C289">
        <v>3</v>
      </c>
      <c r="D289" t="s">
        <v>139</v>
      </c>
      <c r="E289" t="s">
        <v>1052</v>
      </c>
      <c r="F289" t="s">
        <v>139</v>
      </c>
      <c r="G289" t="s">
        <v>1034</v>
      </c>
      <c r="H289" t="s">
        <v>139</v>
      </c>
    </row>
    <row r="290" spans="1:9" hidden="1" x14ac:dyDescent="0.25">
      <c r="A290">
        <v>281</v>
      </c>
      <c r="B290" t="s">
        <v>161</v>
      </c>
      <c r="C290" t="s">
        <v>139</v>
      </c>
      <c r="D290" t="s">
        <v>139</v>
      </c>
      <c r="E290" t="s">
        <v>139</v>
      </c>
      <c r="F290" t="s">
        <v>139</v>
      </c>
      <c r="G290" t="s">
        <v>139</v>
      </c>
      <c r="H290" t="s">
        <v>139</v>
      </c>
    </row>
    <row r="291" spans="1:9" hidden="1" x14ac:dyDescent="0.25">
      <c r="A291">
        <v>282</v>
      </c>
      <c r="B291" t="s">
        <v>1053</v>
      </c>
      <c r="C291">
        <v>3</v>
      </c>
      <c r="D291" t="s">
        <v>139</v>
      </c>
      <c r="E291" t="s">
        <v>1054</v>
      </c>
      <c r="F291" t="b">
        <v>1</v>
      </c>
      <c r="G291" t="s">
        <v>1034</v>
      </c>
      <c r="H291" t="s">
        <v>139</v>
      </c>
    </row>
    <row r="292" spans="1:9" hidden="1" x14ac:dyDescent="0.25">
      <c r="A292">
        <v>283</v>
      </c>
      <c r="B292" t="s">
        <v>1055</v>
      </c>
      <c r="C292">
        <v>3</v>
      </c>
      <c r="D292" t="s">
        <v>139</v>
      </c>
      <c r="E292" t="s">
        <v>1056</v>
      </c>
      <c r="F292" t="s">
        <v>139</v>
      </c>
      <c r="G292" t="s">
        <v>1034</v>
      </c>
      <c r="H292" t="s">
        <v>139</v>
      </c>
    </row>
    <row r="293" spans="1:9" hidden="1" x14ac:dyDescent="0.25">
      <c r="A293">
        <v>284</v>
      </c>
      <c r="B293" t="s">
        <v>156</v>
      </c>
      <c r="C293" t="s">
        <v>139</v>
      </c>
      <c r="D293" t="s">
        <v>139</v>
      </c>
      <c r="E293" t="s">
        <v>139</v>
      </c>
      <c r="F293" t="s">
        <v>139</v>
      </c>
      <c r="G293" t="s">
        <v>139</v>
      </c>
      <c r="H293" t="s">
        <v>139</v>
      </c>
    </row>
    <row r="294" spans="1:9" hidden="1" x14ac:dyDescent="0.25">
      <c r="A294">
        <v>285</v>
      </c>
      <c r="B294" t="s">
        <v>1057</v>
      </c>
      <c r="C294">
        <v>3</v>
      </c>
      <c r="D294" t="s">
        <v>139</v>
      </c>
      <c r="E294" t="s">
        <v>1058</v>
      </c>
      <c r="F294" t="b">
        <v>1</v>
      </c>
      <c r="G294" t="s">
        <v>1034</v>
      </c>
      <c r="H294" t="s">
        <v>139</v>
      </c>
    </row>
    <row r="295" spans="1:9" hidden="1" x14ac:dyDescent="0.25">
      <c r="A295">
        <v>286</v>
      </c>
      <c r="B295" t="s">
        <v>409</v>
      </c>
      <c r="C295">
        <v>3</v>
      </c>
      <c r="D295" t="s">
        <v>139</v>
      </c>
      <c r="E295" t="s">
        <v>411</v>
      </c>
      <c r="F295" t="s">
        <v>139</v>
      </c>
      <c r="G295" t="s">
        <v>1034</v>
      </c>
      <c r="H295" t="s">
        <v>139</v>
      </c>
    </row>
    <row r="296" spans="1:9" hidden="1" x14ac:dyDescent="0.25">
      <c r="A296">
        <v>287</v>
      </c>
      <c r="B296" t="s">
        <v>416</v>
      </c>
      <c r="C296" t="s">
        <v>139</v>
      </c>
      <c r="D296" t="s">
        <v>139</v>
      </c>
      <c r="E296" t="s">
        <v>139</v>
      </c>
      <c r="F296" t="s">
        <v>139</v>
      </c>
      <c r="G296" t="s">
        <v>139</v>
      </c>
      <c r="H296" t="s">
        <v>139</v>
      </c>
    </row>
    <row r="297" spans="1:9" hidden="1" x14ac:dyDescent="0.25">
      <c r="A297">
        <v>288</v>
      </c>
      <c r="B297" t="s">
        <v>417</v>
      </c>
      <c r="C297">
        <v>3</v>
      </c>
      <c r="D297" t="s">
        <v>139</v>
      </c>
      <c r="E297" t="s">
        <v>418</v>
      </c>
      <c r="F297" t="b">
        <v>1</v>
      </c>
      <c r="G297" t="s">
        <v>1034</v>
      </c>
      <c r="H297" t="s">
        <v>139</v>
      </c>
    </row>
    <row r="298" spans="1:9" hidden="1" x14ac:dyDescent="0.25">
      <c r="A298">
        <v>289</v>
      </c>
      <c r="B298" t="s">
        <v>413</v>
      </c>
      <c r="C298">
        <v>3</v>
      </c>
      <c r="D298" t="s">
        <v>139</v>
      </c>
      <c r="E298" t="s">
        <v>415</v>
      </c>
      <c r="F298" t="s">
        <v>139</v>
      </c>
      <c r="G298" t="s">
        <v>1034</v>
      </c>
      <c r="H298" t="s">
        <v>139</v>
      </c>
    </row>
    <row r="299" spans="1:9" hidden="1" x14ac:dyDescent="0.25">
      <c r="A299">
        <v>290</v>
      </c>
      <c r="B299" t="s">
        <v>419</v>
      </c>
      <c r="C299" t="s">
        <v>139</v>
      </c>
      <c r="D299" t="s">
        <v>139</v>
      </c>
      <c r="E299" t="s">
        <v>139</v>
      </c>
      <c r="F299" t="s">
        <v>139</v>
      </c>
      <c r="G299" t="s">
        <v>139</v>
      </c>
      <c r="H299" t="s">
        <v>139</v>
      </c>
    </row>
    <row r="300" spans="1:9" hidden="1" x14ac:dyDescent="0.25">
      <c r="A300">
        <v>291</v>
      </c>
      <c r="B300" t="s">
        <v>420</v>
      </c>
      <c r="C300">
        <v>3</v>
      </c>
      <c r="D300" t="s">
        <v>139</v>
      </c>
      <c r="E300" t="s">
        <v>421</v>
      </c>
      <c r="F300" t="b">
        <v>1</v>
      </c>
      <c r="G300" t="s">
        <v>1034</v>
      </c>
      <c r="H300" t="s">
        <v>139</v>
      </c>
    </row>
    <row r="301" spans="1:9" x14ac:dyDescent="0.25">
      <c r="A301">
        <v>292</v>
      </c>
      <c r="B301" t="s">
        <v>422</v>
      </c>
      <c r="C301">
        <v>3</v>
      </c>
      <c r="D301" t="s">
        <v>139</v>
      </c>
      <c r="E301" t="s">
        <v>423</v>
      </c>
      <c r="F301" t="s">
        <v>139</v>
      </c>
      <c r="G301" t="s">
        <v>1059</v>
      </c>
      <c r="H301" t="s">
        <v>46</v>
      </c>
      <c r="I301">
        <f>_xlfn.XLOOKUP(H301,'SO-DIMM-i9'!A:A,'SO-DIMM-i9'!B:B,_xlfn.XLOOKUP(H301,'SO-DIMM-i9'!H:H,'SO-DIMM-i9'!G:G,""))</f>
        <v>61</v>
      </c>
    </row>
    <row r="302" spans="1:9" hidden="1" x14ac:dyDescent="0.25">
      <c r="A302">
        <v>293</v>
      </c>
      <c r="B302" t="s">
        <v>416</v>
      </c>
      <c r="C302" t="s">
        <v>139</v>
      </c>
      <c r="D302" t="s">
        <v>139</v>
      </c>
      <c r="E302" t="s">
        <v>139</v>
      </c>
      <c r="F302" t="s">
        <v>139</v>
      </c>
      <c r="G302" t="s">
        <v>139</v>
      </c>
      <c r="H302" t="s">
        <v>139</v>
      </c>
    </row>
    <row r="303" spans="1:9" x14ac:dyDescent="0.25">
      <c r="A303">
        <v>294</v>
      </c>
      <c r="B303" t="s">
        <v>424</v>
      </c>
      <c r="C303">
        <v>3</v>
      </c>
      <c r="D303" t="s">
        <v>461</v>
      </c>
      <c r="E303" t="s">
        <v>425</v>
      </c>
      <c r="F303" t="b">
        <v>1</v>
      </c>
      <c r="G303" t="s">
        <v>1059</v>
      </c>
      <c r="H303" t="s">
        <v>63</v>
      </c>
      <c r="I303">
        <f>_xlfn.XLOOKUP(H303,'SO-DIMM-i9'!A:A,'SO-DIMM-i9'!B:B,_xlfn.XLOOKUP(H303,'SO-DIMM-i9'!H:H,'SO-DIMM-i9'!G:G,""))</f>
        <v>78</v>
      </c>
    </row>
    <row r="304" spans="1:9" hidden="1" x14ac:dyDescent="0.25">
      <c r="A304">
        <v>295</v>
      </c>
      <c r="B304" t="s">
        <v>427</v>
      </c>
      <c r="C304">
        <v>3</v>
      </c>
      <c r="D304" t="s">
        <v>139</v>
      </c>
      <c r="E304" t="s">
        <v>428</v>
      </c>
      <c r="F304" t="s">
        <v>139</v>
      </c>
      <c r="G304" t="s">
        <v>1059</v>
      </c>
      <c r="H304" t="s">
        <v>465</v>
      </c>
      <c r="I304" t="str">
        <f>_xlfn.XLOOKUP(H304,'SO-DIMM-i9'!A:A,'SO-DIMM-i9'!B:B,_xlfn.XLOOKUP(H304,'SO-DIMM-i9'!H:H,'SO-DIMM-i9'!G:G,""))</f>
        <v/>
      </c>
    </row>
    <row r="305" spans="1:9" hidden="1" x14ac:dyDescent="0.25">
      <c r="A305">
        <v>296</v>
      </c>
      <c r="B305" t="s">
        <v>419</v>
      </c>
      <c r="C305" t="s">
        <v>139</v>
      </c>
      <c r="D305" t="s">
        <v>139</v>
      </c>
      <c r="E305" t="s">
        <v>139</v>
      </c>
      <c r="F305" t="s">
        <v>139</v>
      </c>
      <c r="G305" t="s">
        <v>139</v>
      </c>
      <c r="H305" t="s">
        <v>139</v>
      </c>
    </row>
    <row r="306" spans="1:9" x14ac:dyDescent="0.25">
      <c r="A306">
        <v>297</v>
      </c>
      <c r="B306" t="s">
        <v>430</v>
      </c>
      <c r="C306">
        <v>3</v>
      </c>
      <c r="D306" t="s">
        <v>139</v>
      </c>
      <c r="E306" t="s">
        <v>431</v>
      </c>
      <c r="F306" t="b">
        <v>1</v>
      </c>
      <c r="G306" t="s">
        <v>1059</v>
      </c>
      <c r="H306" t="s">
        <v>60</v>
      </c>
      <c r="I306">
        <f>_xlfn.XLOOKUP(H306,'SO-DIMM-i9'!A:A,'SO-DIMM-i9'!B:B,_xlfn.XLOOKUP(H306,'SO-DIMM-i9'!H:H,'SO-DIMM-i9'!G:G,""))</f>
        <v>75</v>
      </c>
    </row>
    <row r="307" spans="1:9" x14ac:dyDescent="0.25">
      <c r="A307">
        <v>298</v>
      </c>
      <c r="B307" t="s">
        <v>434</v>
      </c>
      <c r="C307">
        <v>3</v>
      </c>
      <c r="D307" t="s">
        <v>139</v>
      </c>
      <c r="E307" t="s">
        <v>435</v>
      </c>
      <c r="F307" t="s">
        <v>139</v>
      </c>
      <c r="G307" t="s">
        <v>1059</v>
      </c>
      <c r="H307" t="s">
        <v>48</v>
      </c>
      <c r="I307">
        <f>_xlfn.XLOOKUP(H307,'SO-DIMM-i9'!A:A,'SO-DIMM-i9'!B:B,_xlfn.XLOOKUP(H307,'SO-DIMM-i9'!H:H,'SO-DIMM-i9'!G:G,""))</f>
        <v>63</v>
      </c>
    </row>
    <row r="308" spans="1:9" hidden="1" x14ac:dyDescent="0.25">
      <c r="A308">
        <v>299</v>
      </c>
      <c r="B308" t="s">
        <v>161</v>
      </c>
      <c r="C308" t="s">
        <v>139</v>
      </c>
      <c r="D308" t="s">
        <v>139</v>
      </c>
      <c r="E308" t="s">
        <v>139</v>
      </c>
      <c r="F308" t="s">
        <v>139</v>
      </c>
      <c r="G308" t="s">
        <v>139</v>
      </c>
      <c r="H308" t="s">
        <v>139</v>
      </c>
    </row>
    <row r="309" spans="1:9" x14ac:dyDescent="0.25">
      <c r="A309">
        <v>300</v>
      </c>
      <c r="B309" t="s">
        <v>437</v>
      </c>
      <c r="C309">
        <v>3</v>
      </c>
      <c r="D309" t="s">
        <v>139</v>
      </c>
      <c r="E309" t="s">
        <v>438</v>
      </c>
      <c r="F309" t="b">
        <v>1</v>
      </c>
      <c r="G309" t="s">
        <v>1060</v>
      </c>
      <c r="H309" t="s">
        <v>50</v>
      </c>
      <c r="I309">
        <f>_xlfn.XLOOKUP(H309,'SO-DIMM-i9'!A:A,'SO-DIMM-i9'!B:B,_xlfn.XLOOKUP(H309,'SO-DIMM-i9'!H:H,'SO-DIMM-i9'!G:G,""))</f>
        <v>65</v>
      </c>
    </row>
    <row r="310" spans="1:9" x14ac:dyDescent="0.25">
      <c r="A310">
        <v>301</v>
      </c>
      <c r="B310" t="s">
        <v>440</v>
      </c>
      <c r="C310">
        <v>3</v>
      </c>
      <c r="D310" t="s">
        <v>139</v>
      </c>
      <c r="E310" t="s">
        <v>441</v>
      </c>
      <c r="F310" t="s">
        <v>139</v>
      </c>
      <c r="G310" t="s">
        <v>1059</v>
      </c>
      <c r="H310" t="s">
        <v>62</v>
      </c>
      <c r="I310">
        <f>_xlfn.XLOOKUP(H310,'SO-DIMM-i9'!A:A,'SO-DIMM-i9'!B:B,_xlfn.XLOOKUP(H310,'SO-DIMM-i9'!H:H,'SO-DIMM-i9'!G:G,""))</f>
        <v>77</v>
      </c>
    </row>
    <row r="311" spans="1:9" hidden="1" x14ac:dyDescent="0.25">
      <c r="A311">
        <v>302</v>
      </c>
      <c r="B311" t="s">
        <v>167</v>
      </c>
      <c r="C311" t="s">
        <v>139</v>
      </c>
      <c r="D311" t="s">
        <v>139</v>
      </c>
      <c r="E311" t="s">
        <v>139</v>
      </c>
      <c r="F311" t="s">
        <v>139</v>
      </c>
      <c r="G311" t="s">
        <v>139</v>
      </c>
      <c r="H311" t="s">
        <v>139</v>
      </c>
    </row>
    <row r="312" spans="1:9" hidden="1" x14ac:dyDescent="0.25">
      <c r="A312">
        <v>303</v>
      </c>
      <c r="B312" t="s">
        <v>443</v>
      </c>
      <c r="C312">
        <v>3</v>
      </c>
      <c r="D312" t="s">
        <v>139</v>
      </c>
      <c r="E312" t="s">
        <v>444</v>
      </c>
      <c r="F312" t="b">
        <v>1</v>
      </c>
      <c r="G312" t="s">
        <v>1061</v>
      </c>
      <c r="H312" t="s">
        <v>478</v>
      </c>
      <c r="I312" t="str">
        <f>_xlfn.XLOOKUP(H312,'SO-DIMM-i9'!A:A,'SO-DIMM-i9'!B:B,_xlfn.XLOOKUP(H312,'SO-DIMM-i9'!H:H,'SO-DIMM-i9'!G:G,""))</f>
        <v/>
      </c>
    </row>
    <row r="313" spans="1:9" x14ac:dyDescent="0.25">
      <c r="A313">
        <v>304</v>
      </c>
      <c r="B313" t="s">
        <v>446</v>
      </c>
      <c r="C313">
        <v>3</v>
      </c>
      <c r="D313" t="s">
        <v>139</v>
      </c>
      <c r="E313" t="s">
        <v>447</v>
      </c>
      <c r="F313" t="s">
        <v>139</v>
      </c>
      <c r="G313" t="s">
        <v>1059</v>
      </c>
      <c r="H313" t="s">
        <v>64</v>
      </c>
      <c r="I313">
        <f>_xlfn.XLOOKUP(H313,'SO-DIMM-i9'!A:A,'SO-DIMM-i9'!B:B,_xlfn.XLOOKUP(H313,'SO-DIMM-i9'!H:H,'SO-DIMM-i9'!G:G,""))</f>
        <v>79</v>
      </c>
    </row>
    <row r="314" spans="1:9" hidden="1" x14ac:dyDescent="0.25">
      <c r="A314">
        <v>305</v>
      </c>
      <c r="B314" t="s">
        <v>161</v>
      </c>
      <c r="C314" t="s">
        <v>139</v>
      </c>
      <c r="D314" t="s">
        <v>139</v>
      </c>
      <c r="E314" t="s">
        <v>139</v>
      </c>
      <c r="F314" t="s">
        <v>139</v>
      </c>
      <c r="G314" t="s">
        <v>139</v>
      </c>
      <c r="H314" t="s">
        <v>139</v>
      </c>
    </row>
    <row r="315" spans="1:9" hidden="1" x14ac:dyDescent="0.25">
      <c r="A315">
        <v>306</v>
      </c>
      <c r="B315" t="s">
        <v>448</v>
      </c>
      <c r="C315">
        <v>3</v>
      </c>
      <c r="D315" t="s">
        <v>139</v>
      </c>
      <c r="E315" t="s">
        <v>449</v>
      </c>
      <c r="F315" t="b">
        <v>1</v>
      </c>
      <c r="G315" t="s">
        <v>1059</v>
      </c>
      <c r="H315" t="s">
        <v>483</v>
      </c>
      <c r="I315" t="str">
        <f>_xlfn.XLOOKUP(H315,'SO-DIMM-i9'!A:A,'SO-DIMM-i9'!B:B,_xlfn.XLOOKUP(H315,'SO-DIMM-i9'!H:H,'SO-DIMM-i9'!G:G,""))</f>
        <v/>
      </c>
    </row>
    <row r="316" spans="1:9" x14ac:dyDescent="0.25">
      <c r="A316">
        <v>307</v>
      </c>
      <c r="B316" t="s">
        <v>451</v>
      </c>
      <c r="C316">
        <v>3</v>
      </c>
      <c r="D316" t="s">
        <v>485</v>
      </c>
      <c r="E316" t="s">
        <v>452</v>
      </c>
      <c r="F316" t="s">
        <v>139</v>
      </c>
      <c r="G316" t="s">
        <v>1059</v>
      </c>
      <c r="H316" t="s">
        <v>67</v>
      </c>
      <c r="I316">
        <f>_xlfn.XLOOKUP(H316,'SO-DIMM-i9'!A:A,'SO-DIMM-i9'!B:B,_xlfn.XLOOKUP(H316,'SO-DIMM-i9'!H:H,'SO-DIMM-i9'!G:G,""))</f>
        <v>83</v>
      </c>
    </row>
    <row r="317" spans="1:9" hidden="1" x14ac:dyDescent="0.25">
      <c r="A317">
        <v>308</v>
      </c>
      <c r="B317" t="s">
        <v>156</v>
      </c>
      <c r="C317" t="s">
        <v>139</v>
      </c>
      <c r="D317" t="s">
        <v>139</v>
      </c>
      <c r="E317" t="s">
        <v>139</v>
      </c>
      <c r="F317" t="s">
        <v>139</v>
      </c>
      <c r="G317" t="s">
        <v>139</v>
      </c>
      <c r="H317" t="s">
        <v>139</v>
      </c>
    </row>
    <row r="318" spans="1:9" hidden="1" x14ac:dyDescent="0.25">
      <c r="A318">
        <v>309</v>
      </c>
      <c r="B318" t="s">
        <v>454</v>
      </c>
      <c r="C318">
        <v>3</v>
      </c>
      <c r="D318" t="s">
        <v>488</v>
      </c>
      <c r="E318" t="s">
        <v>455</v>
      </c>
      <c r="F318" t="b">
        <v>1</v>
      </c>
      <c r="G318" t="s">
        <v>1059</v>
      </c>
      <c r="H318" t="s">
        <v>490</v>
      </c>
      <c r="I318" t="str">
        <f>_xlfn.XLOOKUP(H318,'SO-DIMM-i9'!A:A,'SO-DIMM-i9'!B:B,_xlfn.XLOOKUP(H318,'SO-DIMM-i9'!H:H,'SO-DIMM-i9'!G:G,""))</f>
        <v/>
      </c>
    </row>
    <row r="319" spans="1:9" hidden="1" x14ac:dyDescent="0.25">
      <c r="A319">
        <v>310</v>
      </c>
      <c r="B319" t="s">
        <v>457</v>
      </c>
      <c r="C319">
        <v>3</v>
      </c>
      <c r="D319" t="s">
        <v>492</v>
      </c>
      <c r="E319" t="s">
        <v>458</v>
      </c>
      <c r="F319" t="s">
        <v>139</v>
      </c>
      <c r="G319" t="s">
        <v>1059</v>
      </c>
      <c r="H319" t="s">
        <v>494</v>
      </c>
      <c r="I319" t="str">
        <f>_xlfn.XLOOKUP(H319,'SO-DIMM-i9'!A:A,'SO-DIMM-i9'!B:B,_xlfn.XLOOKUP(H319,'SO-DIMM-i9'!H:H,'SO-DIMM-i9'!G:G,""))</f>
        <v/>
      </c>
    </row>
    <row r="320" spans="1:9" hidden="1" x14ac:dyDescent="0.25">
      <c r="A320">
        <v>311</v>
      </c>
      <c r="B320" t="s">
        <v>416</v>
      </c>
      <c r="C320" t="s">
        <v>139</v>
      </c>
      <c r="D320" t="s">
        <v>139</v>
      </c>
      <c r="E320" t="s">
        <v>139</v>
      </c>
      <c r="F320" t="s">
        <v>139</v>
      </c>
      <c r="G320" t="s">
        <v>139</v>
      </c>
      <c r="H320" t="s">
        <v>139</v>
      </c>
    </row>
    <row r="321" spans="1:9" hidden="1" x14ac:dyDescent="0.25">
      <c r="A321">
        <v>312</v>
      </c>
      <c r="B321" t="s">
        <v>460</v>
      </c>
      <c r="C321">
        <v>3</v>
      </c>
      <c r="D321" t="s">
        <v>496</v>
      </c>
      <c r="E321" t="s">
        <v>462</v>
      </c>
      <c r="F321" t="b">
        <v>1</v>
      </c>
      <c r="G321" t="s">
        <v>1059</v>
      </c>
      <c r="H321" t="s">
        <v>498</v>
      </c>
      <c r="I321" t="str">
        <f>_xlfn.XLOOKUP(H321,'SO-DIMM-i9'!A:A,'SO-DIMM-i9'!B:B,_xlfn.XLOOKUP(H321,'SO-DIMM-i9'!H:H,'SO-DIMM-i9'!G:G,""))</f>
        <v/>
      </c>
    </row>
    <row r="322" spans="1:9" hidden="1" x14ac:dyDescent="0.25">
      <c r="A322">
        <v>313</v>
      </c>
      <c r="B322" t="s">
        <v>463</v>
      </c>
      <c r="C322">
        <v>3</v>
      </c>
      <c r="D322" t="s">
        <v>500</v>
      </c>
      <c r="E322" t="s">
        <v>464</v>
      </c>
      <c r="F322" t="s">
        <v>139</v>
      </c>
      <c r="G322" t="s">
        <v>1059</v>
      </c>
      <c r="H322" t="s">
        <v>502</v>
      </c>
      <c r="I322" t="str">
        <f>_xlfn.XLOOKUP(H322,'SO-DIMM-i9'!A:A,'SO-DIMM-i9'!B:B,_xlfn.XLOOKUP(H322,'SO-DIMM-i9'!H:H,'SO-DIMM-i9'!G:G,""))</f>
        <v/>
      </c>
    </row>
    <row r="323" spans="1:9" hidden="1" x14ac:dyDescent="0.25">
      <c r="A323">
        <v>314</v>
      </c>
      <c r="B323" t="s">
        <v>419</v>
      </c>
      <c r="C323" t="s">
        <v>139</v>
      </c>
      <c r="D323" t="s">
        <v>139</v>
      </c>
      <c r="E323" t="s">
        <v>139</v>
      </c>
      <c r="F323" t="s">
        <v>139</v>
      </c>
      <c r="G323" t="s">
        <v>139</v>
      </c>
      <c r="H323" t="s">
        <v>139</v>
      </c>
    </row>
    <row r="324" spans="1:9" x14ac:dyDescent="0.25">
      <c r="A324">
        <v>315</v>
      </c>
      <c r="B324" t="s">
        <v>466</v>
      </c>
      <c r="C324">
        <v>3</v>
      </c>
      <c r="D324" t="s">
        <v>504</v>
      </c>
      <c r="E324" t="s">
        <v>467</v>
      </c>
      <c r="F324" t="b">
        <v>1</v>
      </c>
      <c r="G324" t="s">
        <v>1059</v>
      </c>
      <c r="H324" t="s">
        <v>11</v>
      </c>
      <c r="I324">
        <f>_xlfn.XLOOKUP(H324,'SO-DIMM-i9'!A:A,'SO-DIMM-i9'!B:B,_xlfn.XLOOKUP(H324,'SO-DIMM-i9'!H:H,'SO-DIMM-i9'!G:G,""))</f>
        <v>81</v>
      </c>
    </row>
    <row r="325" spans="1:9" x14ac:dyDescent="0.25">
      <c r="A325">
        <v>316</v>
      </c>
      <c r="B325" t="s">
        <v>468</v>
      </c>
      <c r="C325">
        <v>2</v>
      </c>
      <c r="D325" t="s">
        <v>507</v>
      </c>
      <c r="E325" t="s">
        <v>469</v>
      </c>
      <c r="F325" t="s">
        <v>139</v>
      </c>
      <c r="G325" t="s">
        <v>1062</v>
      </c>
      <c r="H325" t="s">
        <v>69</v>
      </c>
      <c r="I325">
        <f>_xlfn.XLOOKUP(H325,'SO-DIMM-i9'!A:A,'SO-DIMM-i9'!B:B,_xlfn.XLOOKUP(H325,'SO-DIMM-i9'!H:H,'SO-DIMM-i9'!G:G,""))</f>
        <v>85</v>
      </c>
    </row>
    <row r="326" spans="1:9" hidden="1" x14ac:dyDescent="0.25">
      <c r="A326">
        <v>317</v>
      </c>
      <c r="B326" t="s">
        <v>510</v>
      </c>
      <c r="C326" t="s">
        <v>139</v>
      </c>
      <c r="D326" t="s">
        <v>139</v>
      </c>
      <c r="E326" t="s">
        <v>139</v>
      </c>
      <c r="F326" t="s">
        <v>139</v>
      </c>
      <c r="G326" t="s">
        <v>139</v>
      </c>
      <c r="H326" t="s">
        <v>139</v>
      </c>
    </row>
    <row r="327" spans="1:9" x14ac:dyDescent="0.25">
      <c r="A327">
        <v>318</v>
      </c>
      <c r="B327" t="s">
        <v>470</v>
      </c>
      <c r="C327">
        <v>2</v>
      </c>
      <c r="D327" t="s">
        <v>512</v>
      </c>
      <c r="E327" t="s">
        <v>471</v>
      </c>
      <c r="F327" t="b">
        <v>1</v>
      </c>
      <c r="G327" t="s">
        <v>1062</v>
      </c>
      <c r="H327" t="s">
        <v>13</v>
      </c>
      <c r="I327">
        <f>_xlfn.XLOOKUP(H327,'SO-DIMM-i9'!A:A,'SO-DIMM-i9'!B:B,_xlfn.XLOOKUP(H327,'SO-DIMM-i9'!H:H,'SO-DIMM-i9'!G:G,""))</f>
        <v>87</v>
      </c>
    </row>
    <row r="328" spans="1:9" x14ac:dyDescent="0.25">
      <c r="A328">
        <v>319</v>
      </c>
      <c r="B328" t="s">
        <v>473</v>
      </c>
      <c r="C328">
        <v>2</v>
      </c>
      <c r="D328" t="s">
        <v>515</v>
      </c>
      <c r="E328" t="s">
        <v>474</v>
      </c>
      <c r="F328" t="s">
        <v>139</v>
      </c>
      <c r="G328" t="s">
        <v>1062</v>
      </c>
      <c r="H328" t="s">
        <v>72</v>
      </c>
      <c r="I328">
        <f>_xlfn.XLOOKUP(H328,'SO-DIMM-i9'!A:A,'SO-DIMM-i9'!B:B,_xlfn.XLOOKUP(H328,'SO-DIMM-i9'!H:H,'SO-DIMM-i9'!G:G,""))</f>
        <v>89</v>
      </c>
    </row>
    <row r="329" spans="1:9" hidden="1" x14ac:dyDescent="0.25">
      <c r="A329">
        <v>320</v>
      </c>
      <c r="B329" t="s">
        <v>517</v>
      </c>
      <c r="C329" t="s">
        <v>139</v>
      </c>
      <c r="D329" t="s">
        <v>139</v>
      </c>
      <c r="E329" t="s">
        <v>139</v>
      </c>
      <c r="F329" t="s">
        <v>139</v>
      </c>
      <c r="G329" t="s">
        <v>139</v>
      </c>
      <c r="H329" t="s">
        <v>139</v>
      </c>
    </row>
    <row r="330" spans="1:9" x14ac:dyDescent="0.25">
      <c r="A330">
        <v>321</v>
      </c>
      <c r="B330" t="s">
        <v>475</v>
      </c>
      <c r="C330">
        <v>2</v>
      </c>
      <c r="D330" t="s">
        <v>519</v>
      </c>
      <c r="E330" t="s">
        <v>476</v>
      </c>
      <c r="F330" t="b">
        <v>1</v>
      </c>
      <c r="G330" t="s">
        <v>1062</v>
      </c>
      <c r="H330" t="s">
        <v>16</v>
      </c>
      <c r="I330">
        <f>_xlfn.XLOOKUP(H330,'SO-DIMM-i9'!A:A,'SO-DIMM-i9'!B:B,_xlfn.XLOOKUP(H330,'SO-DIMM-i9'!H:H,'SO-DIMM-i9'!G:G,""))</f>
        <v>91</v>
      </c>
    </row>
    <row r="331" spans="1:9" x14ac:dyDescent="0.25">
      <c r="A331">
        <v>322</v>
      </c>
      <c r="B331" t="s">
        <v>479</v>
      </c>
      <c r="C331">
        <v>2</v>
      </c>
      <c r="D331" t="s">
        <v>139</v>
      </c>
      <c r="E331" t="s">
        <v>480</v>
      </c>
      <c r="F331" t="s">
        <v>139</v>
      </c>
      <c r="G331" t="s">
        <v>1062</v>
      </c>
      <c r="H331" t="s">
        <v>37</v>
      </c>
      <c r="I331">
        <f>_xlfn.XLOOKUP(H331,'SO-DIMM-i9'!A:A,'SO-DIMM-i9'!B:B,_xlfn.XLOOKUP(H331,'SO-DIMM-i9'!H:H,'SO-DIMM-i9'!G:G,""))</f>
        <v>49</v>
      </c>
    </row>
    <row r="332" spans="1:9" hidden="1" x14ac:dyDescent="0.25">
      <c r="A332">
        <v>323</v>
      </c>
      <c r="B332" t="s">
        <v>161</v>
      </c>
      <c r="C332" t="s">
        <v>139</v>
      </c>
      <c r="D332" t="s">
        <v>139</v>
      </c>
      <c r="E332" t="s">
        <v>139</v>
      </c>
      <c r="F332" t="s">
        <v>139</v>
      </c>
      <c r="G332" t="s">
        <v>139</v>
      </c>
      <c r="H332" t="s">
        <v>139</v>
      </c>
    </row>
    <row r="333" spans="1:9" x14ac:dyDescent="0.25">
      <c r="A333">
        <v>324</v>
      </c>
      <c r="B333" t="s">
        <v>481</v>
      </c>
      <c r="C333">
        <v>2</v>
      </c>
      <c r="D333" t="s">
        <v>139</v>
      </c>
      <c r="E333" t="s">
        <v>482</v>
      </c>
      <c r="F333" t="b">
        <v>1</v>
      </c>
      <c r="G333" t="s">
        <v>1063</v>
      </c>
      <c r="H333" t="s">
        <v>75</v>
      </c>
      <c r="I333">
        <f>_xlfn.XLOOKUP(H333,'SO-DIMM-i9'!A:A,'SO-DIMM-i9'!B:B,_xlfn.XLOOKUP(H333,'SO-DIMM-i9'!H:H,'SO-DIMM-i9'!G:G,""))</f>
        <v>93</v>
      </c>
    </row>
    <row r="334" spans="1:9" x14ac:dyDescent="0.25">
      <c r="A334">
        <v>325</v>
      </c>
      <c r="B334" t="s">
        <v>484</v>
      </c>
      <c r="C334">
        <v>2</v>
      </c>
      <c r="D334" t="s">
        <v>527</v>
      </c>
      <c r="E334" t="s">
        <v>486</v>
      </c>
      <c r="F334" t="s">
        <v>139</v>
      </c>
      <c r="G334" t="s">
        <v>1062</v>
      </c>
      <c r="H334" t="s">
        <v>66</v>
      </c>
      <c r="I334">
        <f>_xlfn.XLOOKUP(H334,'SO-DIMM-i9'!A:A,'SO-DIMM-i9'!B:B,_xlfn.XLOOKUP(H334,'SO-DIMM-i9'!H:H,'SO-DIMM-i9'!G:G,""))</f>
        <v>82</v>
      </c>
    </row>
    <row r="335" spans="1:9" hidden="1" x14ac:dyDescent="0.25">
      <c r="A335">
        <v>326</v>
      </c>
      <c r="B335" t="s">
        <v>167</v>
      </c>
      <c r="C335" t="s">
        <v>139</v>
      </c>
      <c r="D335" t="s">
        <v>139</v>
      </c>
      <c r="E335" t="s">
        <v>139</v>
      </c>
      <c r="F335" t="s">
        <v>139</v>
      </c>
      <c r="G335" t="s">
        <v>139</v>
      </c>
      <c r="H335" t="s">
        <v>139</v>
      </c>
    </row>
    <row r="336" spans="1:9" x14ac:dyDescent="0.25">
      <c r="A336">
        <v>327</v>
      </c>
      <c r="B336" t="s">
        <v>487</v>
      </c>
      <c r="C336">
        <v>2</v>
      </c>
      <c r="D336" t="s">
        <v>530</v>
      </c>
      <c r="E336" t="s">
        <v>489</v>
      </c>
      <c r="F336" t="b">
        <v>1</v>
      </c>
      <c r="G336" t="s">
        <v>1064</v>
      </c>
      <c r="H336" t="s">
        <v>19</v>
      </c>
      <c r="I336">
        <f>_xlfn.XLOOKUP(H336,'SO-DIMM-i9'!A:A,'SO-DIMM-i9'!B:B,_xlfn.XLOOKUP(H336,'SO-DIMM-i9'!H:H,'SO-DIMM-i9'!G:G,""))</f>
        <v>97</v>
      </c>
    </row>
    <row r="337" spans="1:9" x14ac:dyDescent="0.25">
      <c r="A337">
        <v>328</v>
      </c>
      <c r="B337" t="s">
        <v>491</v>
      </c>
      <c r="C337">
        <v>2</v>
      </c>
      <c r="D337" t="s">
        <v>139</v>
      </c>
      <c r="E337" t="s">
        <v>493</v>
      </c>
      <c r="F337" t="s">
        <v>139</v>
      </c>
      <c r="G337" t="s">
        <v>1062</v>
      </c>
      <c r="H337" t="s">
        <v>77</v>
      </c>
      <c r="I337">
        <f>_xlfn.XLOOKUP(H337,'SO-DIMM-i9'!A:A,'SO-DIMM-i9'!B:B,_xlfn.XLOOKUP(H337,'SO-DIMM-i9'!H:H,'SO-DIMM-i9'!G:G,""))</f>
        <v>95</v>
      </c>
    </row>
    <row r="338" spans="1:9" hidden="1" x14ac:dyDescent="0.25">
      <c r="A338">
        <v>329</v>
      </c>
      <c r="B338" t="s">
        <v>161</v>
      </c>
      <c r="C338" t="s">
        <v>139</v>
      </c>
      <c r="D338" t="s">
        <v>139</v>
      </c>
      <c r="E338" t="s">
        <v>139</v>
      </c>
      <c r="F338" t="s">
        <v>139</v>
      </c>
      <c r="G338" t="s">
        <v>139</v>
      </c>
      <c r="H338" t="s">
        <v>139</v>
      </c>
    </row>
    <row r="339" spans="1:9" x14ac:dyDescent="0.25">
      <c r="A339">
        <v>330</v>
      </c>
      <c r="B339" t="s">
        <v>495</v>
      </c>
      <c r="C339">
        <v>2</v>
      </c>
      <c r="D339" t="s">
        <v>139</v>
      </c>
      <c r="E339" t="s">
        <v>497</v>
      </c>
      <c r="F339" t="b">
        <v>1</v>
      </c>
      <c r="G339" t="s">
        <v>1062</v>
      </c>
      <c r="H339" t="s">
        <v>82</v>
      </c>
      <c r="I339">
        <f>_xlfn.XLOOKUP(H339,'SO-DIMM-i9'!A:A,'SO-DIMM-i9'!B:B,_xlfn.XLOOKUP(H339,'SO-DIMM-i9'!H:H,'SO-DIMM-i9'!G:G,""))</f>
        <v>101</v>
      </c>
    </row>
    <row r="340" spans="1:9" x14ac:dyDescent="0.25">
      <c r="A340">
        <v>331</v>
      </c>
      <c r="B340" t="s">
        <v>499</v>
      </c>
      <c r="C340">
        <v>2</v>
      </c>
      <c r="D340" t="s">
        <v>139</v>
      </c>
      <c r="E340" t="s">
        <v>501</v>
      </c>
      <c r="F340" t="s">
        <v>139</v>
      </c>
      <c r="G340" t="s">
        <v>1062</v>
      </c>
      <c r="H340" t="s">
        <v>80</v>
      </c>
      <c r="I340">
        <f>_xlfn.XLOOKUP(H340,'SO-DIMM-i9'!A:A,'SO-DIMM-i9'!B:B,_xlfn.XLOOKUP(H340,'SO-DIMM-i9'!H:H,'SO-DIMM-i9'!G:G,""))</f>
        <v>99</v>
      </c>
    </row>
    <row r="341" spans="1:9" hidden="1" x14ac:dyDescent="0.25">
      <c r="A341">
        <v>332</v>
      </c>
      <c r="B341" t="s">
        <v>156</v>
      </c>
      <c r="C341" t="s">
        <v>139</v>
      </c>
      <c r="D341" t="s">
        <v>139</v>
      </c>
      <c r="E341" t="s">
        <v>139</v>
      </c>
      <c r="F341" t="s">
        <v>139</v>
      </c>
      <c r="G341" t="s">
        <v>139</v>
      </c>
      <c r="H341" t="s">
        <v>139</v>
      </c>
    </row>
    <row r="342" spans="1:9" x14ac:dyDescent="0.25">
      <c r="A342">
        <v>333</v>
      </c>
      <c r="B342" t="s">
        <v>503</v>
      </c>
      <c r="C342">
        <v>2</v>
      </c>
      <c r="D342" t="s">
        <v>139</v>
      </c>
      <c r="E342" t="s">
        <v>505</v>
      </c>
      <c r="F342" t="b">
        <v>1</v>
      </c>
      <c r="G342" t="s">
        <v>1062</v>
      </c>
      <c r="H342" t="s">
        <v>84</v>
      </c>
      <c r="I342">
        <f>_xlfn.XLOOKUP(H342,'SO-DIMM-i9'!A:A,'SO-DIMM-i9'!B:B,_xlfn.XLOOKUP(H342,'SO-DIMM-i9'!H:H,'SO-DIMM-i9'!G:G,""))</f>
        <v>103</v>
      </c>
    </row>
    <row r="343" spans="1:9" x14ac:dyDescent="0.25">
      <c r="A343">
        <v>334</v>
      </c>
      <c r="B343" t="s">
        <v>506</v>
      </c>
      <c r="C343">
        <v>2</v>
      </c>
      <c r="D343" t="s">
        <v>139</v>
      </c>
      <c r="E343" t="s">
        <v>508</v>
      </c>
      <c r="F343" t="s">
        <v>139</v>
      </c>
      <c r="G343" t="s">
        <v>1062</v>
      </c>
      <c r="H343" t="s">
        <v>86</v>
      </c>
      <c r="I343">
        <f>_xlfn.XLOOKUP(H343,'SO-DIMM-i9'!A:A,'SO-DIMM-i9'!B:B,_xlfn.XLOOKUP(H343,'SO-DIMM-i9'!H:H,'SO-DIMM-i9'!G:G,""))</f>
        <v>109</v>
      </c>
    </row>
    <row r="344" spans="1:9" hidden="1" x14ac:dyDescent="0.25">
      <c r="A344">
        <v>335</v>
      </c>
      <c r="B344" t="s">
        <v>510</v>
      </c>
      <c r="C344" t="s">
        <v>139</v>
      </c>
      <c r="D344" t="s">
        <v>139</v>
      </c>
      <c r="E344" t="s">
        <v>139</v>
      </c>
      <c r="F344" t="s">
        <v>139</v>
      </c>
      <c r="G344" t="s">
        <v>139</v>
      </c>
      <c r="H344" t="s">
        <v>139</v>
      </c>
    </row>
    <row r="345" spans="1:9" x14ac:dyDescent="0.25">
      <c r="A345">
        <v>336</v>
      </c>
      <c r="B345" t="s">
        <v>511</v>
      </c>
      <c r="C345">
        <v>2</v>
      </c>
      <c r="D345" t="s">
        <v>139</v>
      </c>
      <c r="E345" t="s">
        <v>513</v>
      </c>
      <c r="F345" t="b">
        <v>1</v>
      </c>
      <c r="G345" t="s">
        <v>1062</v>
      </c>
      <c r="H345" t="s">
        <v>90</v>
      </c>
      <c r="I345">
        <f>_xlfn.XLOOKUP(H345,'SO-DIMM-i9'!A:A,'SO-DIMM-i9'!B:B,_xlfn.XLOOKUP(H345,'SO-DIMM-i9'!H:H,'SO-DIMM-i9'!G:G,""))</f>
        <v>113</v>
      </c>
    </row>
    <row r="346" spans="1:9" x14ac:dyDescent="0.25">
      <c r="A346">
        <v>337</v>
      </c>
      <c r="B346" t="s">
        <v>514</v>
      </c>
      <c r="C346">
        <v>2</v>
      </c>
      <c r="D346" t="s">
        <v>546</v>
      </c>
      <c r="E346" t="s">
        <v>516</v>
      </c>
      <c r="F346" t="s">
        <v>139</v>
      </c>
      <c r="G346" t="s">
        <v>1062</v>
      </c>
      <c r="H346" t="s">
        <v>88</v>
      </c>
      <c r="I346">
        <f>_xlfn.XLOOKUP(H346,'SO-DIMM-i9'!A:A,'SO-DIMM-i9'!B:B,_xlfn.XLOOKUP(H346,'SO-DIMM-i9'!H:H,'SO-DIMM-i9'!G:G,""))</f>
        <v>111</v>
      </c>
    </row>
    <row r="347" spans="1:9" hidden="1" x14ac:dyDescent="0.25">
      <c r="A347">
        <v>338</v>
      </c>
      <c r="B347" t="s">
        <v>517</v>
      </c>
      <c r="C347" t="s">
        <v>139</v>
      </c>
      <c r="D347" t="s">
        <v>139</v>
      </c>
      <c r="E347" t="s">
        <v>139</v>
      </c>
      <c r="F347" t="s">
        <v>139</v>
      </c>
      <c r="G347" t="s">
        <v>139</v>
      </c>
      <c r="H347" t="s">
        <v>139</v>
      </c>
    </row>
    <row r="348" spans="1:9" x14ac:dyDescent="0.25">
      <c r="A348">
        <v>339</v>
      </c>
      <c r="B348" t="s">
        <v>518</v>
      </c>
      <c r="C348">
        <v>2</v>
      </c>
      <c r="D348" t="s">
        <v>139</v>
      </c>
      <c r="E348" t="s">
        <v>520</v>
      </c>
      <c r="F348" t="b">
        <v>1</v>
      </c>
      <c r="G348" t="s">
        <v>1062</v>
      </c>
      <c r="H348" t="s">
        <v>92</v>
      </c>
      <c r="I348">
        <f>_xlfn.XLOOKUP(H348,'SO-DIMM-i9'!A:A,'SO-DIMM-i9'!B:B,_xlfn.XLOOKUP(H348,'SO-DIMM-i9'!H:H,'SO-DIMM-i9'!G:G,""))</f>
        <v>115</v>
      </c>
    </row>
    <row r="349" spans="1:9" x14ac:dyDescent="0.25">
      <c r="A349">
        <v>340</v>
      </c>
      <c r="B349" t="s">
        <v>521</v>
      </c>
      <c r="C349">
        <v>2</v>
      </c>
      <c r="D349" t="s">
        <v>139</v>
      </c>
      <c r="E349" t="s">
        <v>522</v>
      </c>
      <c r="F349" t="s">
        <v>139</v>
      </c>
      <c r="G349" t="s">
        <v>1065</v>
      </c>
      <c r="H349" t="s">
        <v>65</v>
      </c>
      <c r="I349">
        <f>_xlfn.XLOOKUP(H349,'SO-DIMM-i9'!A:A,'SO-DIMM-i9'!B:B,_xlfn.XLOOKUP(H349,'SO-DIMM-i9'!H:H,'SO-DIMM-i9'!G:G,""))</f>
        <v>80</v>
      </c>
    </row>
    <row r="350" spans="1:9" hidden="1" x14ac:dyDescent="0.25">
      <c r="A350">
        <v>341</v>
      </c>
      <c r="B350" t="s">
        <v>510</v>
      </c>
      <c r="C350" t="s">
        <v>139</v>
      </c>
      <c r="D350" t="s">
        <v>139</v>
      </c>
      <c r="E350" t="s">
        <v>139</v>
      </c>
      <c r="F350" t="s">
        <v>139</v>
      </c>
      <c r="G350" t="s">
        <v>139</v>
      </c>
      <c r="H350" t="s">
        <v>139</v>
      </c>
    </row>
    <row r="351" spans="1:9" x14ac:dyDescent="0.25">
      <c r="A351">
        <v>342</v>
      </c>
      <c r="B351" t="s">
        <v>523</v>
      </c>
      <c r="C351">
        <v>2</v>
      </c>
      <c r="D351" t="s">
        <v>139</v>
      </c>
      <c r="E351" t="s">
        <v>524</v>
      </c>
      <c r="F351" t="b">
        <v>1</v>
      </c>
      <c r="G351" t="s">
        <v>1065</v>
      </c>
      <c r="H351" t="s">
        <v>71</v>
      </c>
      <c r="I351">
        <f>_xlfn.XLOOKUP(H351,'SO-DIMM-i9'!A:A,'SO-DIMM-i9'!B:B,_xlfn.XLOOKUP(H351,'SO-DIMM-i9'!H:H,'SO-DIMM-i9'!G:G,""))</f>
        <v>88</v>
      </c>
    </row>
    <row r="352" spans="1:9" x14ac:dyDescent="0.25">
      <c r="A352">
        <v>343</v>
      </c>
      <c r="B352" t="s">
        <v>526</v>
      </c>
      <c r="C352">
        <v>2</v>
      </c>
      <c r="D352" t="s">
        <v>139</v>
      </c>
      <c r="E352" t="s">
        <v>528</v>
      </c>
      <c r="F352" t="s">
        <v>139</v>
      </c>
      <c r="G352" t="s">
        <v>1065</v>
      </c>
      <c r="H352" t="s">
        <v>68</v>
      </c>
      <c r="I352">
        <f>_xlfn.XLOOKUP(H352,'SO-DIMM-i9'!A:A,'SO-DIMM-i9'!B:B,_xlfn.XLOOKUP(H352,'SO-DIMM-i9'!H:H,'SO-DIMM-i9'!G:G,""))</f>
        <v>84</v>
      </c>
    </row>
    <row r="353" spans="1:9" hidden="1" x14ac:dyDescent="0.25">
      <c r="A353">
        <v>344</v>
      </c>
      <c r="B353" t="s">
        <v>517</v>
      </c>
      <c r="C353" t="s">
        <v>139</v>
      </c>
      <c r="D353" t="s">
        <v>139</v>
      </c>
      <c r="E353" t="s">
        <v>139</v>
      </c>
      <c r="F353" t="s">
        <v>139</v>
      </c>
      <c r="G353" t="s">
        <v>139</v>
      </c>
      <c r="H353" t="s">
        <v>139</v>
      </c>
    </row>
    <row r="354" spans="1:9" x14ac:dyDescent="0.25">
      <c r="A354">
        <v>345</v>
      </c>
      <c r="B354" t="s">
        <v>529</v>
      </c>
      <c r="C354">
        <v>2</v>
      </c>
      <c r="D354" t="s">
        <v>139</v>
      </c>
      <c r="E354" t="s">
        <v>531</v>
      </c>
      <c r="F354" t="b">
        <v>1</v>
      </c>
      <c r="G354" t="s">
        <v>1065</v>
      </c>
      <c r="H354" t="s">
        <v>70</v>
      </c>
      <c r="I354">
        <f>_xlfn.XLOOKUP(H354,'SO-DIMM-i9'!A:A,'SO-DIMM-i9'!B:B,_xlfn.XLOOKUP(H354,'SO-DIMM-i9'!H:H,'SO-DIMM-i9'!G:G,""))</f>
        <v>86</v>
      </c>
    </row>
    <row r="355" spans="1:9" x14ac:dyDescent="0.25">
      <c r="A355">
        <v>346</v>
      </c>
      <c r="B355" t="s">
        <v>533</v>
      </c>
      <c r="C355">
        <v>2</v>
      </c>
      <c r="D355" t="s">
        <v>139</v>
      </c>
      <c r="E355" t="s">
        <v>534</v>
      </c>
      <c r="F355" t="s">
        <v>139</v>
      </c>
      <c r="G355" t="s">
        <v>1065</v>
      </c>
      <c r="H355" t="s">
        <v>74</v>
      </c>
      <c r="I355">
        <f>_xlfn.XLOOKUP(H355,'SO-DIMM-i9'!A:A,'SO-DIMM-i9'!B:B,_xlfn.XLOOKUP(H355,'SO-DIMM-i9'!H:H,'SO-DIMM-i9'!G:G,""))</f>
        <v>92</v>
      </c>
    </row>
    <row r="356" spans="1:9" hidden="1" x14ac:dyDescent="0.25">
      <c r="A356">
        <v>347</v>
      </c>
      <c r="B356" t="s">
        <v>161</v>
      </c>
      <c r="C356" t="s">
        <v>139</v>
      </c>
      <c r="D356" t="s">
        <v>139</v>
      </c>
      <c r="E356" t="s">
        <v>139</v>
      </c>
      <c r="F356" t="s">
        <v>139</v>
      </c>
      <c r="G356" t="s">
        <v>139</v>
      </c>
      <c r="H356" t="s">
        <v>139</v>
      </c>
    </row>
    <row r="357" spans="1:9" x14ac:dyDescent="0.25">
      <c r="A357">
        <v>348</v>
      </c>
      <c r="B357" t="s">
        <v>535</v>
      </c>
      <c r="C357">
        <v>2</v>
      </c>
      <c r="D357" t="s">
        <v>139</v>
      </c>
      <c r="E357" t="s">
        <v>536</v>
      </c>
      <c r="F357" t="b">
        <v>1</v>
      </c>
      <c r="G357" t="s">
        <v>1066</v>
      </c>
      <c r="H357" t="s">
        <v>73</v>
      </c>
      <c r="I357">
        <f>_xlfn.XLOOKUP(H357,'SO-DIMM-i9'!A:A,'SO-DIMM-i9'!B:B,_xlfn.XLOOKUP(H357,'SO-DIMM-i9'!H:H,'SO-DIMM-i9'!G:G,""))</f>
        <v>90</v>
      </c>
    </row>
    <row r="358" spans="1:9" x14ac:dyDescent="0.25">
      <c r="A358">
        <v>349</v>
      </c>
      <c r="B358" t="s">
        <v>537</v>
      </c>
      <c r="C358">
        <v>2</v>
      </c>
      <c r="D358" t="s">
        <v>139</v>
      </c>
      <c r="E358" t="s">
        <v>538</v>
      </c>
      <c r="F358" t="s">
        <v>139</v>
      </c>
      <c r="G358" t="s">
        <v>1065</v>
      </c>
      <c r="H358" t="s">
        <v>78</v>
      </c>
      <c r="I358">
        <f>_xlfn.XLOOKUP(H358,'SO-DIMM-i9'!A:A,'SO-DIMM-i9'!B:B,_xlfn.XLOOKUP(H358,'SO-DIMM-i9'!H:H,'SO-DIMM-i9'!G:G,""))</f>
        <v>96</v>
      </c>
    </row>
    <row r="359" spans="1:9" hidden="1" x14ac:dyDescent="0.25">
      <c r="A359">
        <v>350</v>
      </c>
      <c r="B359" t="s">
        <v>167</v>
      </c>
      <c r="C359" t="s">
        <v>139</v>
      </c>
      <c r="D359" t="s">
        <v>139</v>
      </c>
      <c r="E359" t="s">
        <v>139</v>
      </c>
      <c r="F359" t="s">
        <v>139</v>
      </c>
      <c r="G359" t="s">
        <v>139</v>
      </c>
      <c r="H359" t="s">
        <v>139</v>
      </c>
    </row>
    <row r="360" spans="1:9" x14ac:dyDescent="0.25">
      <c r="A360">
        <v>351</v>
      </c>
      <c r="B360" t="s">
        <v>539</v>
      </c>
      <c r="C360">
        <v>2</v>
      </c>
      <c r="D360" t="s">
        <v>139</v>
      </c>
      <c r="E360" t="s">
        <v>540</v>
      </c>
      <c r="F360" t="b">
        <v>1</v>
      </c>
      <c r="G360" t="s">
        <v>1067</v>
      </c>
      <c r="H360" t="s">
        <v>81</v>
      </c>
      <c r="I360">
        <f>_xlfn.XLOOKUP(H360,'SO-DIMM-i9'!A:A,'SO-DIMM-i9'!B:B,_xlfn.XLOOKUP(H360,'SO-DIMM-i9'!H:H,'SO-DIMM-i9'!G:G,""))</f>
        <v>100</v>
      </c>
    </row>
    <row r="361" spans="1:9" x14ac:dyDescent="0.25">
      <c r="A361">
        <v>352</v>
      </c>
      <c r="B361" t="s">
        <v>541</v>
      </c>
      <c r="C361">
        <v>2</v>
      </c>
      <c r="D361" t="s">
        <v>139</v>
      </c>
      <c r="E361" t="s">
        <v>542</v>
      </c>
      <c r="F361" t="s">
        <v>139</v>
      </c>
      <c r="G361" t="s">
        <v>1065</v>
      </c>
      <c r="H361" t="s">
        <v>76</v>
      </c>
      <c r="I361">
        <f>_xlfn.XLOOKUP(H361,'SO-DIMM-i9'!A:A,'SO-DIMM-i9'!B:B,_xlfn.XLOOKUP(H361,'SO-DIMM-i9'!H:H,'SO-DIMM-i9'!G:G,""))</f>
        <v>94</v>
      </c>
    </row>
    <row r="362" spans="1:9" hidden="1" x14ac:dyDescent="0.25">
      <c r="A362">
        <v>353</v>
      </c>
      <c r="B362" t="s">
        <v>161</v>
      </c>
      <c r="C362" t="s">
        <v>139</v>
      </c>
      <c r="D362" t="s">
        <v>139</v>
      </c>
      <c r="E362" t="s">
        <v>139</v>
      </c>
      <c r="F362" t="s">
        <v>139</v>
      </c>
      <c r="G362" t="s">
        <v>139</v>
      </c>
      <c r="H362" t="s">
        <v>139</v>
      </c>
    </row>
    <row r="363" spans="1:9" x14ac:dyDescent="0.25">
      <c r="A363">
        <v>354</v>
      </c>
      <c r="B363" t="s">
        <v>543</v>
      </c>
      <c r="C363">
        <v>2</v>
      </c>
      <c r="D363" t="s">
        <v>139</v>
      </c>
      <c r="E363" t="s">
        <v>544</v>
      </c>
      <c r="F363" t="b">
        <v>1</v>
      </c>
      <c r="G363" t="s">
        <v>1065</v>
      </c>
      <c r="H363" t="s">
        <v>87</v>
      </c>
      <c r="I363">
        <f>_xlfn.XLOOKUP(H363,'SO-DIMM-i9'!A:A,'SO-DIMM-i9'!B:B,_xlfn.XLOOKUP(H363,'SO-DIMM-i9'!H:H,'SO-DIMM-i9'!G:G,""))</f>
        <v>110</v>
      </c>
    </row>
    <row r="364" spans="1:9" x14ac:dyDescent="0.25">
      <c r="A364">
        <v>355</v>
      </c>
      <c r="B364" t="s">
        <v>545</v>
      </c>
      <c r="C364">
        <v>2</v>
      </c>
      <c r="D364" t="s">
        <v>139</v>
      </c>
      <c r="E364" t="s">
        <v>547</v>
      </c>
      <c r="F364" t="s">
        <v>139</v>
      </c>
      <c r="G364" t="s">
        <v>1065</v>
      </c>
      <c r="H364" t="s">
        <v>79</v>
      </c>
      <c r="I364">
        <f>_xlfn.XLOOKUP(H364,'SO-DIMM-i9'!A:A,'SO-DIMM-i9'!B:B,_xlfn.XLOOKUP(H364,'SO-DIMM-i9'!H:H,'SO-DIMM-i9'!G:G,""))</f>
        <v>98</v>
      </c>
    </row>
    <row r="365" spans="1:9" hidden="1" x14ac:dyDescent="0.25">
      <c r="A365">
        <v>356</v>
      </c>
      <c r="B365" t="s">
        <v>156</v>
      </c>
      <c r="C365" t="s">
        <v>139</v>
      </c>
      <c r="D365" t="s">
        <v>139</v>
      </c>
      <c r="E365" t="s">
        <v>139</v>
      </c>
      <c r="F365" t="s">
        <v>139</v>
      </c>
      <c r="G365" t="s">
        <v>139</v>
      </c>
      <c r="H365" t="s">
        <v>139</v>
      </c>
    </row>
    <row r="366" spans="1:9" x14ac:dyDescent="0.25">
      <c r="A366">
        <v>357</v>
      </c>
      <c r="B366" t="s">
        <v>548</v>
      </c>
      <c r="C366">
        <v>2</v>
      </c>
      <c r="D366" t="s">
        <v>139</v>
      </c>
      <c r="E366" t="s">
        <v>549</v>
      </c>
      <c r="F366" t="b">
        <v>1</v>
      </c>
      <c r="G366" t="s">
        <v>1065</v>
      </c>
      <c r="H366" t="s">
        <v>89</v>
      </c>
      <c r="I366">
        <f>_xlfn.XLOOKUP(H366,'SO-DIMM-i9'!A:A,'SO-DIMM-i9'!B:B,_xlfn.XLOOKUP(H366,'SO-DIMM-i9'!H:H,'SO-DIMM-i9'!G:G,""))</f>
        <v>112</v>
      </c>
    </row>
    <row r="367" spans="1:9" x14ac:dyDescent="0.25">
      <c r="A367">
        <v>358</v>
      </c>
      <c r="B367" t="s">
        <v>550</v>
      </c>
      <c r="C367">
        <v>2</v>
      </c>
      <c r="D367" t="s">
        <v>139</v>
      </c>
      <c r="E367" t="s">
        <v>551</v>
      </c>
      <c r="F367" t="s">
        <v>139</v>
      </c>
      <c r="G367" t="s">
        <v>1065</v>
      </c>
      <c r="H367" t="s">
        <v>83</v>
      </c>
      <c r="I367">
        <f>_xlfn.XLOOKUP(H367,'SO-DIMM-i9'!A:A,'SO-DIMM-i9'!B:B,_xlfn.XLOOKUP(H367,'SO-DIMM-i9'!H:H,'SO-DIMM-i9'!G:G,""))</f>
        <v>102</v>
      </c>
    </row>
    <row r="368" spans="1:9" hidden="1" x14ac:dyDescent="0.25">
      <c r="A368">
        <v>359</v>
      </c>
      <c r="B368" t="s">
        <v>510</v>
      </c>
      <c r="C368" t="s">
        <v>139</v>
      </c>
      <c r="D368" t="s">
        <v>139</v>
      </c>
      <c r="E368" t="s">
        <v>139</v>
      </c>
      <c r="F368" t="s">
        <v>139</v>
      </c>
      <c r="G368" t="s">
        <v>139</v>
      </c>
      <c r="H368" t="s">
        <v>139</v>
      </c>
    </row>
    <row r="369" spans="1:9" x14ac:dyDescent="0.25">
      <c r="A369">
        <v>360</v>
      </c>
      <c r="B369" t="s">
        <v>555</v>
      </c>
      <c r="C369">
        <v>2</v>
      </c>
      <c r="D369" t="s">
        <v>139</v>
      </c>
      <c r="E369" t="s">
        <v>556</v>
      </c>
      <c r="F369" t="s">
        <v>139</v>
      </c>
      <c r="G369" t="s">
        <v>1065</v>
      </c>
      <c r="H369" t="s">
        <v>85</v>
      </c>
      <c r="I369">
        <f>_xlfn.XLOOKUP(H369,'SO-DIMM-i9'!A:A,'SO-DIMM-i9'!B:B,_xlfn.XLOOKUP(H369,'SO-DIMM-i9'!H:H,'SO-DIMM-i9'!G:G,""))</f>
        <v>104</v>
      </c>
    </row>
    <row r="370" spans="1:9" hidden="1" x14ac:dyDescent="0.25">
      <c r="A370">
        <v>361</v>
      </c>
      <c r="B370" t="s">
        <v>517</v>
      </c>
      <c r="C370" t="s">
        <v>139</v>
      </c>
      <c r="D370" t="s">
        <v>139</v>
      </c>
      <c r="E370" t="s">
        <v>139</v>
      </c>
      <c r="F370" t="s">
        <v>139</v>
      </c>
      <c r="G370" t="s">
        <v>139</v>
      </c>
      <c r="H370" t="s">
        <v>139</v>
      </c>
    </row>
    <row r="371" spans="1:9" x14ac:dyDescent="0.25">
      <c r="A371">
        <v>362</v>
      </c>
      <c r="B371" t="s">
        <v>553</v>
      </c>
      <c r="C371">
        <v>2</v>
      </c>
      <c r="D371" t="s">
        <v>1068</v>
      </c>
      <c r="E371" t="s">
        <v>554</v>
      </c>
      <c r="F371" t="b">
        <v>1</v>
      </c>
      <c r="G371" t="s">
        <v>1065</v>
      </c>
      <c r="H371" t="s">
        <v>91</v>
      </c>
      <c r="I371">
        <f>_xlfn.XLOOKUP(H371,'SO-DIMM-i9'!A:A,'SO-DIMM-i9'!B:B,_xlfn.XLOOKUP(H371,'SO-DIMM-i9'!H:H,'SO-DIMM-i9'!G:G,""))</f>
        <v>114</v>
      </c>
    </row>
    <row r="372" spans="1:9" x14ac:dyDescent="0.25">
      <c r="A372">
        <v>363</v>
      </c>
      <c r="B372" t="s">
        <v>557</v>
      </c>
      <c r="C372">
        <v>2</v>
      </c>
      <c r="D372" t="s">
        <v>1069</v>
      </c>
      <c r="E372" t="s">
        <v>558</v>
      </c>
      <c r="F372" t="b">
        <v>1</v>
      </c>
      <c r="G372" t="s">
        <v>1065</v>
      </c>
      <c r="H372" t="s">
        <v>39</v>
      </c>
      <c r="I372">
        <f>_xlfn.XLOOKUP(H372,'SO-DIMM-i9'!A:A,'SO-DIMM-i9'!B:B,_xlfn.XLOOKUP(H372,'SO-DIMM-i9'!H:H,'SO-DIMM-i9'!G:G,""))</f>
        <v>51</v>
      </c>
    </row>
    <row r="373" spans="1:9" hidden="1" x14ac:dyDescent="0.25">
      <c r="A373">
        <v>364</v>
      </c>
      <c r="B373" t="s">
        <v>12</v>
      </c>
      <c r="C373" t="s">
        <v>139</v>
      </c>
      <c r="D373" t="s">
        <v>139</v>
      </c>
      <c r="E373" t="s">
        <v>139</v>
      </c>
      <c r="F373" t="s">
        <v>139</v>
      </c>
      <c r="G373" t="s">
        <v>139</v>
      </c>
      <c r="H373" t="s">
        <v>139</v>
      </c>
    </row>
    <row r="374" spans="1:9" hidden="1" x14ac:dyDescent="0.25">
      <c r="A374">
        <v>365</v>
      </c>
      <c r="B374" t="s">
        <v>12</v>
      </c>
      <c r="C374" t="s">
        <v>139</v>
      </c>
      <c r="D374" t="s">
        <v>139</v>
      </c>
      <c r="E374" t="s">
        <v>139</v>
      </c>
      <c r="F374" t="s">
        <v>139</v>
      </c>
      <c r="G374" t="s">
        <v>139</v>
      </c>
      <c r="H374" t="s">
        <v>139</v>
      </c>
    </row>
    <row r="375" spans="1:9" hidden="1" x14ac:dyDescent="0.25">
      <c r="A375">
        <v>366</v>
      </c>
      <c r="B375" t="s">
        <v>12</v>
      </c>
      <c r="C375" t="s">
        <v>139</v>
      </c>
      <c r="D375" t="s">
        <v>139</v>
      </c>
      <c r="E375" t="s">
        <v>139</v>
      </c>
      <c r="F375" t="s">
        <v>139</v>
      </c>
      <c r="G375" t="s">
        <v>139</v>
      </c>
      <c r="H375" t="s">
        <v>139</v>
      </c>
    </row>
    <row r="376" spans="1:9" hidden="1" x14ac:dyDescent="0.25">
      <c r="A376">
        <v>367</v>
      </c>
      <c r="B376" t="s">
        <v>12</v>
      </c>
      <c r="C376" t="s">
        <v>139</v>
      </c>
      <c r="D376" t="s">
        <v>139</v>
      </c>
      <c r="E376" t="s">
        <v>139</v>
      </c>
      <c r="F376" t="s">
        <v>139</v>
      </c>
      <c r="G376" t="s">
        <v>139</v>
      </c>
      <c r="H376" t="s">
        <v>139</v>
      </c>
    </row>
    <row r="377" spans="1:9" hidden="1" x14ac:dyDescent="0.25">
      <c r="A377">
        <v>368</v>
      </c>
      <c r="B377" t="s">
        <v>12</v>
      </c>
      <c r="C377" t="s">
        <v>139</v>
      </c>
      <c r="D377" t="s">
        <v>139</v>
      </c>
      <c r="E377" t="s">
        <v>139</v>
      </c>
      <c r="F377" t="s">
        <v>139</v>
      </c>
      <c r="G377" t="s">
        <v>139</v>
      </c>
      <c r="H377" t="s">
        <v>139</v>
      </c>
    </row>
    <row r="378" spans="1:9" hidden="1" x14ac:dyDescent="0.25">
      <c r="A378">
        <v>369</v>
      </c>
      <c r="B378" t="s">
        <v>4</v>
      </c>
      <c r="C378" t="s">
        <v>139</v>
      </c>
      <c r="D378" t="s">
        <v>139</v>
      </c>
      <c r="E378" t="s">
        <v>139</v>
      </c>
      <c r="F378" t="s">
        <v>139</v>
      </c>
      <c r="G378" t="s">
        <v>139</v>
      </c>
      <c r="H378" t="s">
        <v>139</v>
      </c>
    </row>
    <row r="379" spans="1:9" hidden="1" x14ac:dyDescent="0.25">
      <c r="A379">
        <v>370</v>
      </c>
      <c r="B379" t="s">
        <v>167</v>
      </c>
      <c r="C379" t="s">
        <v>139</v>
      </c>
      <c r="D379" t="s">
        <v>139</v>
      </c>
      <c r="E379" t="s">
        <v>139</v>
      </c>
      <c r="F379" t="s">
        <v>139</v>
      </c>
      <c r="G379" t="s">
        <v>139</v>
      </c>
      <c r="H379" t="s">
        <v>139</v>
      </c>
    </row>
    <row r="380" spans="1:9" hidden="1" x14ac:dyDescent="0.25">
      <c r="A380">
        <v>371</v>
      </c>
      <c r="B380" t="s">
        <v>161</v>
      </c>
      <c r="C380" t="s">
        <v>139</v>
      </c>
      <c r="D380" t="s">
        <v>139</v>
      </c>
      <c r="E380" t="s">
        <v>139</v>
      </c>
      <c r="F380" t="s">
        <v>139</v>
      </c>
      <c r="G380" t="s">
        <v>139</v>
      </c>
      <c r="H380" t="s">
        <v>139</v>
      </c>
    </row>
    <row r="381" spans="1:9" hidden="1" x14ac:dyDescent="0.25">
      <c r="A381">
        <v>372</v>
      </c>
      <c r="B381" t="s">
        <v>167</v>
      </c>
      <c r="C381" t="s">
        <v>139</v>
      </c>
      <c r="D381" t="s">
        <v>139</v>
      </c>
      <c r="E381" t="s">
        <v>139</v>
      </c>
      <c r="F381" t="s">
        <v>139</v>
      </c>
      <c r="G381" t="s">
        <v>139</v>
      </c>
      <c r="H381" t="s">
        <v>139</v>
      </c>
    </row>
    <row r="382" spans="1:9" x14ac:dyDescent="0.25">
      <c r="A382">
        <v>373</v>
      </c>
      <c r="B382" t="s">
        <v>1070</v>
      </c>
      <c r="C382">
        <v>1</v>
      </c>
      <c r="D382" t="s">
        <v>1071</v>
      </c>
      <c r="E382" t="s">
        <v>1072</v>
      </c>
      <c r="F382" t="s">
        <v>139</v>
      </c>
      <c r="G382" t="s">
        <v>139</v>
      </c>
      <c r="H382" t="s">
        <v>94</v>
      </c>
      <c r="I382">
        <f>_xlfn.XLOOKUP(H382,'SO-DIMM-i9'!A:A,'SO-DIMM-i9'!B:B,_xlfn.XLOOKUP(H382,'SO-DIMM-i9'!H:H,'SO-DIMM-i9'!G:G,""))</f>
        <v>117</v>
      </c>
    </row>
    <row r="383" spans="1:9" hidden="1" x14ac:dyDescent="0.25">
      <c r="A383">
        <v>374</v>
      </c>
      <c r="B383" t="s">
        <v>588</v>
      </c>
      <c r="C383" t="s">
        <v>139</v>
      </c>
      <c r="D383" t="s">
        <v>139</v>
      </c>
      <c r="E383" t="s">
        <v>139</v>
      </c>
      <c r="F383" t="s">
        <v>139</v>
      </c>
      <c r="G383" t="s">
        <v>139</v>
      </c>
      <c r="H383" t="s">
        <v>139</v>
      </c>
    </row>
    <row r="384" spans="1:9" x14ac:dyDescent="0.25">
      <c r="A384">
        <v>375</v>
      </c>
      <c r="B384" t="s">
        <v>1073</v>
      </c>
      <c r="C384">
        <v>1</v>
      </c>
      <c r="D384" t="s">
        <v>139</v>
      </c>
      <c r="E384" t="s">
        <v>1074</v>
      </c>
      <c r="F384" t="s">
        <v>139</v>
      </c>
      <c r="G384" t="s">
        <v>139</v>
      </c>
      <c r="H384" t="s">
        <v>96</v>
      </c>
      <c r="I384">
        <f>_xlfn.XLOOKUP(H384,'SO-DIMM-i9'!A:A,'SO-DIMM-i9'!B:B,_xlfn.XLOOKUP(H384,'SO-DIMM-i9'!H:H,'SO-DIMM-i9'!G:G,""))</f>
        <v>119</v>
      </c>
    </row>
    <row r="385" spans="1:9" x14ac:dyDescent="0.25">
      <c r="A385">
        <v>376</v>
      </c>
      <c r="B385" t="s">
        <v>1075</v>
      </c>
      <c r="C385">
        <v>1</v>
      </c>
      <c r="D385" t="s">
        <v>1076</v>
      </c>
      <c r="E385" t="s">
        <v>1077</v>
      </c>
      <c r="F385" t="s">
        <v>139</v>
      </c>
      <c r="G385" t="s">
        <v>139</v>
      </c>
      <c r="H385" t="s">
        <v>100</v>
      </c>
      <c r="I385">
        <f>_xlfn.XLOOKUP(H385,'SO-DIMM-i9'!A:A,'SO-DIMM-i9'!B:B,_xlfn.XLOOKUP(H385,'SO-DIMM-i9'!H:H,'SO-DIMM-i9'!G:G,""))</f>
        <v>123</v>
      </c>
    </row>
    <row r="386" spans="1:9" hidden="1" x14ac:dyDescent="0.25">
      <c r="A386">
        <v>377</v>
      </c>
      <c r="B386" t="s">
        <v>593</v>
      </c>
      <c r="C386" t="s">
        <v>139</v>
      </c>
      <c r="D386" t="s">
        <v>139</v>
      </c>
      <c r="E386" t="s">
        <v>139</v>
      </c>
      <c r="F386" t="s">
        <v>139</v>
      </c>
      <c r="G386" t="s">
        <v>139</v>
      </c>
      <c r="H386" t="s">
        <v>139</v>
      </c>
    </row>
    <row r="387" spans="1:9" x14ac:dyDescent="0.25">
      <c r="A387">
        <v>378</v>
      </c>
      <c r="B387" t="s">
        <v>1078</v>
      </c>
      <c r="C387">
        <v>1</v>
      </c>
      <c r="D387" t="s">
        <v>139</v>
      </c>
      <c r="E387" t="s">
        <v>1079</v>
      </c>
      <c r="F387" t="s">
        <v>139</v>
      </c>
      <c r="G387" t="s">
        <v>139</v>
      </c>
      <c r="H387" t="s">
        <v>104</v>
      </c>
      <c r="I387">
        <f>_xlfn.XLOOKUP(H387,'SO-DIMM-i9'!A:A,'SO-DIMM-i9'!B:B,_xlfn.XLOOKUP(H387,'SO-DIMM-i9'!H:H,'SO-DIMM-i9'!G:G,""))</f>
        <v>127</v>
      </c>
    </row>
    <row r="388" spans="1:9" x14ac:dyDescent="0.25">
      <c r="A388">
        <v>379</v>
      </c>
      <c r="B388" t="s">
        <v>1080</v>
      </c>
      <c r="C388">
        <v>1</v>
      </c>
      <c r="D388" t="s">
        <v>139</v>
      </c>
      <c r="E388" t="s">
        <v>1081</v>
      </c>
      <c r="F388" t="s">
        <v>139</v>
      </c>
      <c r="G388" t="s">
        <v>139</v>
      </c>
      <c r="H388" t="s">
        <v>98</v>
      </c>
      <c r="I388">
        <f>_xlfn.XLOOKUP(H388,'SO-DIMM-i9'!A:A,'SO-DIMM-i9'!B:B,_xlfn.XLOOKUP(H388,'SO-DIMM-i9'!H:H,'SO-DIMM-i9'!G:G,""))</f>
        <v>121</v>
      </c>
    </row>
    <row r="389" spans="1:9" hidden="1" x14ac:dyDescent="0.25">
      <c r="A389">
        <v>380</v>
      </c>
      <c r="B389" t="s">
        <v>161</v>
      </c>
      <c r="C389" t="s">
        <v>139</v>
      </c>
      <c r="D389" t="s">
        <v>139</v>
      </c>
      <c r="E389" t="s">
        <v>139</v>
      </c>
      <c r="F389" t="s">
        <v>139</v>
      </c>
      <c r="G389" t="s">
        <v>139</v>
      </c>
      <c r="H389" t="s">
        <v>139</v>
      </c>
    </row>
    <row r="390" spans="1:9" x14ac:dyDescent="0.25">
      <c r="A390">
        <v>381</v>
      </c>
      <c r="B390" t="s">
        <v>1082</v>
      </c>
      <c r="C390">
        <v>1</v>
      </c>
      <c r="D390" t="s">
        <v>139</v>
      </c>
      <c r="E390" t="s">
        <v>1083</v>
      </c>
      <c r="F390" t="s">
        <v>139</v>
      </c>
      <c r="G390" t="s">
        <v>139</v>
      </c>
      <c r="H390" t="s">
        <v>102</v>
      </c>
      <c r="I390">
        <f>_xlfn.XLOOKUP(H390,'SO-DIMM-i9'!A:A,'SO-DIMM-i9'!B:B,_xlfn.XLOOKUP(H390,'SO-DIMM-i9'!H:H,'SO-DIMM-i9'!G:G,""))</f>
        <v>125</v>
      </c>
    </row>
    <row r="391" spans="1:9" hidden="1" x14ac:dyDescent="0.25">
      <c r="A391">
        <v>382</v>
      </c>
      <c r="B391" t="s">
        <v>1084</v>
      </c>
      <c r="C391">
        <v>1</v>
      </c>
      <c r="D391" t="s">
        <v>139</v>
      </c>
      <c r="E391" t="s">
        <v>1085</v>
      </c>
      <c r="F391" t="s">
        <v>139</v>
      </c>
      <c r="G391" t="s">
        <v>139</v>
      </c>
      <c r="H391" t="s">
        <v>602</v>
      </c>
      <c r="I391" t="str">
        <f>_xlfn.XLOOKUP(H391,'SO-DIMM-i9'!A:A,'SO-DIMM-i9'!B:B,_xlfn.XLOOKUP(H391,'SO-DIMM-i9'!H:H,'SO-DIMM-i9'!G:G,""))</f>
        <v/>
      </c>
    </row>
    <row r="392" spans="1:9" hidden="1" x14ac:dyDescent="0.25">
      <c r="A392">
        <v>383</v>
      </c>
      <c r="B392" t="s">
        <v>167</v>
      </c>
      <c r="C392" t="s">
        <v>139</v>
      </c>
      <c r="D392" t="s">
        <v>139</v>
      </c>
      <c r="E392" t="s">
        <v>139</v>
      </c>
      <c r="F392" t="s">
        <v>139</v>
      </c>
      <c r="G392" t="s">
        <v>139</v>
      </c>
      <c r="H392" t="s">
        <v>139</v>
      </c>
    </row>
    <row r="393" spans="1:9" hidden="1" x14ac:dyDescent="0.25">
      <c r="A393">
        <v>384</v>
      </c>
      <c r="B393" t="s">
        <v>1086</v>
      </c>
      <c r="C393">
        <v>1</v>
      </c>
      <c r="D393" t="s">
        <v>139</v>
      </c>
      <c r="E393" t="s">
        <v>1087</v>
      </c>
      <c r="F393" t="s">
        <v>139</v>
      </c>
      <c r="G393" t="s">
        <v>139</v>
      </c>
      <c r="H393" t="s">
        <v>605</v>
      </c>
      <c r="I393" t="str">
        <f>_xlfn.XLOOKUP(H393,'SO-DIMM-i9'!A:A,'SO-DIMM-i9'!B:B,_xlfn.XLOOKUP(H393,'SO-DIMM-i9'!H:H,'SO-DIMM-i9'!G:G,""))</f>
        <v/>
      </c>
    </row>
    <row r="394" spans="1:9" x14ac:dyDescent="0.25">
      <c r="A394">
        <v>385</v>
      </c>
      <c r="B394" t="s">
        <v>1088</v>
      </c>
      <c r="C394">
        <v>1</v>
      </c>
      <c r="D394" t="s">
        <v>139</v>
      </c>
      <c r="E394" t="s">
        <v>1089</v>
      </c>
      <c r="F394" t="s">
        <v>139</v>
      </c>
      <c r="G394" t="s">
        <v>139</v>
      </c>
      <c r="H394" t="s">
        <v>95</v>
      </c>
      <c r="I394">
        <f>_xlfn.XLOOKUP(H394,'SO-DIMM-i9'!A:A,'SO-DIMM-i9'!B:B,_xlfn.XLOOKUP(H394,'SO-DIMM-i9'!H:H,'SO-DIMM-i9'!G:G,""))</f>
        <v>118</v>
      </c>
    </row>
    <row r="395" spans="1:9" hidden="1" x14ac:dyDescent="0.25">
      <c r="A395">
        <v>386</v>
      </c>
      <c r="B395" t="s">
        <v>161</v>
      </c>
      <c r="C395" t="s">
        <v>139</v>
      </c>
      <c r="D395" t="s">
        <v>139</v>
      </c>
      <c r="E395" t="s">
        <v>139</v>
      </c>
      <c r="F395" t="s">
        <v>139</v>
      </c>
      <c r="G395" t="s">
        <v>139</v>
      </c>
      <c r="H395" t="s">
        <v>139</v>
      </c>
    </row>
    <row r="396" spans="1:9" hidden="1" x14ac:dyDescent="0.25">
      <c r="A396">
        <v>387</v>
      </c>
      <c r="B396" t="s">
        <v>1090</v>
      </c>
      <c r="C396">
        <v>1</v>
      </c>
      <c r="D396" t="s">
        <v>139</v>
      </c>
      <c r="E396" t="s">
        <v>1091</v>
      </c>
      <c r="F396" t="s">
        <v>139</v>
      </c>
      <c r="G396" t="s">
        <v>139</v>
      </c>
      <c r="H396" t="s">
        <v>610</v>
      </c>
      <c r="I396" t="str">
        <f>_xlfn.XLOOKUP(H396,'SO-DIMM-i9'!A:A,'SO-DIMM-i9'!B:B,_xlfn.XLOOKUP(H396,'SO-DIMM-i9'!H:H,'SO-DIMM-i9'!G:G,""))</f>
        <v/>
      </c>
    </row>
    <row r="397" spans="1:9" hidden="1" x14ac:dyDescent="0.25">
      <c r="A397">
        <v>388</v>
      </c>
      <c r="B397" t="s">
        <v>1092</v>
      </c>
      <c r="C397">
        <v>1</v>
      </c>
      <c r="D397" t="s">
        <v>139</v>
      </c>
      <c r="E397" t="s">
        <v>1093</v>
      </c>
      <c r="F397" t="s">
        <v>139</v>
      </c>
      <c r="G397" t="s">
        <v>139</v>
      </c>
      <c r="H397" t="s">
        <v>613</v>
      </c>
      <c r="I397" t="str">
        <f>_xlfn.XLOOKUP(H397,'SO-DIMM-i9'!A:A,'SO-DIMM-i9'!B:B,_xlfn.XLOOKUP(H397,'SO-DIMM-i9'!H:H,'SO-DIMM-i9'!G:G,""))</f>
        <v/>
      </c>
    </row>
    <row r="398" spans="1:9" hidden="1" x14ac:dyDescent="0.25">
      <c r="A398">
        <v>389</v>
      </c>
      <c r="B398" t="s">
        <v>156</v>
      </c>
      <c r="C398" t="s">
        <v>139</v>
      </c>
      <c r="D398" t="s">
        <v>139</v>
      </c>
      <c r="E398" t="s">
        <v>139</v>
      </c>
      <c r="F398" t="s">
        <v>139</v>
      </c>
      <c r="G398" t="s">
        <v>139</v>
      </c>
      <c r="H398" t="s">
        <v>139</v>
      </c>
    </row>
    <row r="399" spans="1:9" hidden="1" x14ac:dyDescent="0.25">
      <c r="A399">
        <v>390</v>
      </c>
      <c r="B399" t="s">
        <v>1094</v>
      </c>
      <c r="C399">
        <v>1</v>
      </c>
      <c r="D399" t="s">
        <v>139</v>
      </c>
      <c r="E399" t="s">
        <v>1095</v>
      </c>
      <c r="F399" t="s">
        <v>139</v>
      </c>
      <c r="G399" t="s">
        <v>139</v>
      </c>
      <c r="H399" t="s">
        <v>616</v>
      </c>
      <c r="I399" t="str">
        <f>_xlfn.XLOOKUP(H399,'SO-DIMM-i9'!A:A,'SO-DIMM-i9'!B:B,_xlfn.XLOOKUP(H399,'SO-DIMM-i9'!H:H,'SO-DIMM-i9'!G:G,""))</f>
        <v/>
      </c>
    </row>
    <row r="400" spans="1:9" hidden="1" x14ac:dyDescent="0.25">
      <c r="A400">
        <v>391</v>
      </c>
      <c r="B400" t="s">
        <v>1096</v>
      </c>
      <c r="C400">
        <v>1</v>
      </c>
      <c r="D400" t="s">
        <v>139</v>
      </c>
      <c r="E400" t="s">
        <v>1097</v>
      </c>
      <c r="F400" t="s">
        <v>139</v>
      </c>
      <c r="G400" t="s">
        <v>139</v>
      </c>
      <c r="H400" t="s">
        <v>619</v>
      </c>
      <c r="I400" t="str">
        <f>_xlfn.XLOOKUP(H400,'SO-DIMM-i9'!A:A,'SO-DIMM-i9'!B:B,_xlfn.XLOOKUP(H400,'SO-DIMM-i9'!H:H,'SO-DIMM-i9'!G:G,""))</f>
        <v/>
      </c>
    </row>
    <row r="401" spans="1:9" hidden="1" x14ac:dyDescent="0.25">
      <c r="A401">
        <v>392</v>
      </c>
      <c r="B401" t="s">
        <v>588</v>
      </c>
      <c r="C401" t="s">
        <v>139</v>
      </c>
      <c r="D401" t="s">
        <v>139</v>
      </c>
      <c r="E401" t="s">
        <v>139</v>
      </c>
      <c r="F401" t="s">
        <v>139</v>
      </c>
      <c r="G401" t="s">
        <v>139</v>
      </c>
      <c r="H401" t="s">
        <v>139</v>
      </c>
    </row>
    <row r="402" spans="1:9" hidden="1" x14ac:dyDescent="0.25">
      <c r="A402">
        <v>393</v>
      </c>
      <c r="B402" t="s">
        <v>1098</v>
      </c>
      <c r="C402">
        <v>1</v>
      </c>
      <c r="D402" t="s">
        <v>139</v>
      </c>
      <c r="E402" t="s">
        <v>1099</v>
      </c>
      <c r="F402" t="s">
        <v>139</v>
      </c>
      <c r="G402" t="s">
        <v>139</v>
      </c>
      <c r="H402" t="s">
        <v>622</v>
      </c>
      <c r="I402" t="str">
        <f>_xlfn.XLOOKUP(H402,'SO-DIMM-i9'!A:A,'SO-DIMM-i9'!B:B,_xlfn.XLOOKUP(H402,'SO-DIMM-i9'!H:H,'SO-DIMM-i9'!G:G,""))</f>
        <v/>
      </c>
    </row>
    <row r="403" spans="1:9" hidden="1" x14ac:dyDescent="0.25">
      <c r="A403">
        <v>394</v>
      </c>
      <c r="B403" t="s">
        <v>1100</v>
      </c>
      <c r="C403">
        <v>1</v>
      </c>
      <c r="D403" t="s">
        <v>139</v>
      </c>
      <c r="E403" t="s">
        <v>1101</v>
      </c>
      <c r="F403" t="s">
        <v>139</v>
      </c>
      <c r="G403" t="s">
        <v>139</v>
      </c>
      <c r="H403" t="s">
        <v>625</v>
      </c>
      <c r="I403" t="str">
        <f>_xlfn.XLOOKUP(H403,'SO-DIMM-i9'!A:A,'SO-DIMM-i9'!B:B,_xlfn.XLOOKUP(H403,'SO-DIMM-i9'!H:H,'SO-DIMM-i9'!G:G,""))</f>
        <v/>
      </c>
    </row>
    <row r="404" spans="1:9" hidden="1" x14ac:dyDescent="0.25">
      <c r="A404">
        <v>395</v>
      </c>
      <c r="B404" t="s">
        <v>593</v>
      </c>
      <c r="C404" t="s">
        <v>139</v>
      </c>
      <c r="D404" t="s">
        <v>139</v>
      </c>
      <c r="E404" t="s">
        <v>139</v>
      </c>
      <c r="F404" t="s">
        <v>139</v>
      </c>
      <c r="G404" t="s">
        <v>139</v>
      </c>
      <c r="H404" t="s">
        <v>139</v>
      </c>
    </row>
    <row r="405" spans="1:9" hidden="1" x14ac:dyDescent="0.25">
      <c r="A405">
        <v>396</v>
      </c>
      <c r="B405" t="s">
        <v>1102</v>
      </c>
      <c r="C405">
        <v>1</v>
      </c>
      <c r="D405" t="s">
        <v>139</v>
      </c>
      <c r="E405" t="s">
        <v>1103</v>
      </c>
      <c r="F405" t="s">
        <v>139</v>
      </c>
      <c r="G405" t="s">
        <v>139</v>
      </c>
      <c r="H405" t="s">
        <v>628</v>
      </c>
      <c r="I405" t="str">
        <f>_xlfn.XLOOKUP(H405,'SO-DIMM-i9'!A:A,'SO-DIMM-i9'!B:B,_xlfn.XLOOKUP(H405,'SO-DIMM-i9'!H:H,'SO-DIMM-i9'!G:G,""))</f>
        <v/>
      </c>
    </row>
    <row r="406" spans="1:9" hidden="1" x14ac:dyDescent="0.25">
      <c r="A406">
        <v>397</v>
      </c>
      <c r="B406" t="s">
        <v>586</v>
      </c>
      <c r="C406">
        <v>1</v>
      </c>
      <c r="D406" t="s">
        <v>139</v>
      </c>
      <c r="E406" t="s">
        <v>587</v>
      </c>
      <c r="F406" t="s">
        <v>139</v>
      </c>
      <c r="G406" t="s">
        <v>139</v>
      </c>
      <c r="H406" t="s">
        <v>139</v>
      </c>
    </row>
    <row r="407" spans="1:9" hidden="1" x14ac:dyDescent="0.25">
      <c r="A407">
        <v>398</v>
      </c>
      <c r="B407" t="s">
        <v>588</v>
      </c>
      <c r="C407" t="s">
        <v>139</v>
      </c>
      <c r="D407" t="s">
        <v>139</v>
      </c>
      <c r="E407" t="s">
        <v>139</v>
      </c>
      <c r="F407" t="s">
        <v>139</v>
      </c>
      <c r="G407" t="s">
        <v>139</v>
      </c>
      <c r="H407" t="s">
        <v>139</v>
      </c>
    </row>
    <row r="408" spans="1:9" hidden="1" x14ac:dyDescent="0.25">
      <c r="A408">
        <v>399</v>
      </c>
      <c r="B408" t="s">
        <v>589</v>
      </c>
      <c r="C408">
        <v>1</v>
      </c>
      <c r="D408" t="s">
        <v>139</v>
      </c>
      <c r="E408" t="s">
        <v>590</v>
      </c>
      <c r="F408" t="s">
        <v>139</v>
      </c>
      <c r="G408" t="s">
        <v>139</v>
      </c>
      <c r="H408" t="s">
        <v>139</v>
      </c>
    </row>
    <row r="409" spans="1:9" hidden="1" x14ac:dyDescent="0.25">
      <c r="A409">
        <v>400</v>
      </c>
      <c r="B409" t="s">
        <v>591</v>
      </c>
      <c r="C409">
        <v>1</v>
      </c>
      <c r="D409" t="s">
        <v>139</v>
      </c>
      <c r="E409" t="s">
        <v>592</v>
      </c>
      <c r="F409" t="s">
        <v>139</v>
      </c>
      <c r="G409" t="s">
        <v>139</v>
      </c>
      <c r="H409" t="s">
        <v>904</v>
      </c>
      <c r="I409" t="str">
        <f>_xlfn.XLOOKUP(H409,'SO-DIMM-i9'!A:A,'SO-DIMM-i9'!B:B,_xlfn.XLOOKUP(H409,'SO-DIMM-i9'!H:H,'SO-DIMM-i9'!G:G,""))</f>
        <v/>
      </c>
    </row>
    <row r="410" spans="1:9" hidden="1" x14ac:dyDescent="0.25">
      <c r="A410">
        <v>401</v>
      </c>
      <c r="B410" t="s">
        <v>593</v>
      </c>
      <c r="C410" t="s">
        <v>139</v>
      </c>
      <c r="D410" t="s">
        <v>139</v>
      </c>
      <c r="E410" t="s">
        <v>139</v>
      </c>
      <c r="F410" t="s">
        <v>139</v>
      </c>
      <c r="G410" t="s">
        <v>139</v>
      </c>
      <c r="H410" t="s">
        <v>139</v>
      </c>
    </row>
    <row r="411" spans="1:9" hidden="1" x14ac:dyDescent="0.25">
      <c r="A411">
        <v>402</v>
      </c>
      <c r="B411" t="s">
        <v>594</v>
      </c>
      <c r="C411">
        <v>1</v>
      </c>
      <c r="D411" t="s">
        <v>139</v>
      </c>
      <c r="E411" t="s">
        <v>595</v>
      </c>
      <c r="F411" t="s">
        <v>139</v>
      </c>
      <c r="G411" t="s">
        <v>139</v>
      </c>
      <c r="H411" t="s">
        <v>139</v>
      </c>
    </row>
    <row r="412" spans="1:9" hidden="1" x14ac:dyDescent="0.25">
      <c r="A412">
        <v>403</v>
      </c>
      <c r="B412" t="s">
        <v>596</v>
      </c>
      <c r="C412">
        <v>1</v>
      </c>
      <c r="D412" t="s">
        <v>139</v>
      </c>
      <c r="E412" t="s">
        <v>597</v>
      </c>
      <c r="F412" t="s">
        <v>139</v>
      </c>
      <c r="G412" t="s">
        <v>139</v>
      </c>
      <c r="H412" t="s">
        <v>139</v>
      </c>
    </row>
    <row r="413" spans="1:9" hidden="1" x14ac:dyDescent="0.25">
      <c r="A413">
        <v>404</v>
      </c>
      <c r="B413" t="s">
        <v>161</v>
      </c>
      <c r="C413" t="s">
        <v>139</v>
      </c>
      <c r="D413" t="s">
        <v>139</v>
      </c>
      <c r="E413" t="s">
        <v>139</v>
      </c>
      <c r="F413" t="s">
        <v>139</v>
      </c>
      <c r="G413" t="s">
        <v>139</v>
      </c>
      <c r="H413" t="s">
        <v>139</v>
      </c>
    </row>
    <row r="414" spans="1:9" hidden="1" x14ac:dyDescent="0.25">
      <c r="A414">
        <v>405</v>
      </c>
      <c r="B414" t="s">
        <v>598</v>
      </c>
      <c r="C414">
        <v>1</v>
      </c>
      <c r="D414" t="s">
        <v>139</v>
      </c>
      <c r="E414" t="s">
        <v>599</v>
      </c>
      <c r="F414" t="s">
        <v>139</v>
      </c>
      <c r="G414" t="s">
        <v>139</v>
      </c>
      <c r="H414" t="s">
        <v>139</v>
      </c>
    </row>
    <row r="415" spans="1:9" hidden="1" x14ac:dyDescent="0.25">
      <c r="A415">
        <v>406</v>
      </c>
      <c r="B415" t="s">
        <v>600</v>
      </c>
      <c r="C415">
        <v>1</v>
      </c>
      <c r="D415" t="s">
        <v>139</v>
      </c>
      <c r="E415" t="s">
        <v>601</v>
      </c>
      <c r="F415" t="s">
        <v>139</v>
      </c>
      <c r="G415" t="s">
        <v>139</v>
      </c>
      <c r="H415" t="s">
        <v>139</v>
      </c>
    </row>
    <row r="416" spans="1:9" hidden="1" x14ac:dyDescent="0.25">
      <c r="A416">
        <v>407</v>
      </c>
      <c r="B416" t="s">
        <v>167</v>
      </c>
      <c r="C416" t="s">
        <v>139</v>
      </c>
      <c r="D416" t="s">
        <v>139</v>
      </c>
      <c r="E416" t="s">
        <v>139</v>
      </c>
      <c r="F416" t="s">
        <v>139</v>
      </c>
      <c r="G416" t="s">
        <v>139</v>
      </c>
      <c r="H416" t="s">
        <v>139</v>
      </c>
    </row>
    <row r="417" spans="1:9" hidden="1" x14ac:dyDescent="0.25">
      <c r="A417">
        <v>408</v>
      </c>
      <c r="B417" t="s">
        <v>603</v>
      </c>
      <c r="C417">
        <v>1</v>
      </c>
      <c r="D417" t="s">
        <v>139</v>
      </c>
      <c r="E417" t="s">
        <v>604</v>
      </c>
      <c r="F417" t="s">
        <v>139</v>
      </c>
      <c r="G417" t="s">
        <v>139</v>
      </c>
      <c r="H417" t="s">
        <v>139</v>
      </c>
    </row>
    <row r="418" spans="1:9" hidden="1" x14ac:dyDescent="0.25">
      <c r="A418">
        <v>409</v>
      </c>
      <c r="B418" t="s">
        <v>606</v>
      </c>
      <c r="C418">
        <v>1</v>
      </c>
      <c r="D418" t="s">
        <v>139</v>
      </c>
      <c r="E418" t="s">
        <v>607</v>
      </c>
      <c r="F418" t="s">
        <v>139</v>
      </c>
      <c r="G418" t="s">
        <v>139</v>
      </c>
      <c r="H418" t="s">
        <v>631</v>
      </c>
      <c r="I418" t="str">
        <f>_xlfn.XLOOKUP(H418,'SO-DIMM-i9'!A:A,'SO-DIMM-i9'!B:B,_xlfn.XLOOKUP(H418,'SO-DIMM-i9'!H:H,'SO-DIMM-i9'!G:G,""))</f>
        <v/>
      </c>
    </row>
    <row r="419" spans="1:9" hidden="1" x14ac:dyDescent="0.25">
      <c r="A419">
        <v>410</v>
      </c>
      <c r="B419" t="s">
        <v>161</v>
      </c>
      <c r="C419" t="s">
        <v>139</v>
      </c>
      <c r="D419" t="s">
        <v>139</v>
      </c>
      <c r="E419" t="s">
        <v>139</v>
      </c>
      <c r="F419" t="s">
        <v>139</v>
      </c>
      <c r="G419" t="s">
        <v>139</v>
      </c>
      <c r="H419" t="s">
        <v>139</v>
      </c>
    </row>
    <row r="420" spans="1:9" hidden="1" x14ac:dyDescent="0.25">
      <c r="A420">
        <v>411</v>
      </c>
      <c r="B420" t="s">
        <v>608</v>
      </c>
      <c r="C420">
        <v>1</v>
      </c>
      <c r="D420" t="s">
        <v>139</v>
      </c>
      <c r="E420" t="s">
        <v>609</v>
      </c>
      <c r="F420" t="s">
        <v>139</v>
      </c>
      <c r="G420" t="s">
        <v>139</v>
      </c>
      <c r="H420" t="s">
        <v>634</v>
      </c>
      <c r="I420" t="str">
        <f>_xlfn.XLOOKUP(H420,'SO-DIMM-i9'!A:A,'SO-DIMM-i9'!B:B,_xlfn.XLOOKUP(H420,'SO-DIMM-i9'!H:H,'SO-DIMM-i9'!G:G,""))</f>
        <v/>
      </c>
    </row>
    <row r="421" spans="1:9" hidden="1" x14ac:dyDescent="0.25">
      <c r="A421">
        <v>412</v>
      </c>
      <c r="B421" t="s">
        <v>611</v>
      </c>
      <c r="C421">
        <v>1</v>
      </c>
      <c r="D421" t="s">
        <v>139</v>
      </c>
      <c r="E421" t="s">
        <v>612</v>
      </c>
      <c r="F421" t="s">
        <v>139</v>
      </c>
      <c r="G421" t="s">
        <v>139</v>
      </c>
      <c r="H421" t="s">
        <v>637</v>
      </c>
      <c r="I421" t="str">
        <f>_xlfn.XLOOKUP(H421,'SO-DIMM-i9'!A:A,'SO-DIMM-i9'!B:B,_xlfn.XLOOKUP(H421,'SO-DIMM-i9'!H:H,'SO-DIMM-i9'!G:G,""))</f>
        <v/>
      </c>
    </row>
    <row r="422" spans="1:9" hidden="1" x14ac:dyDescent="0.25">
      <c r="A422">
        <v>413</v>
      </c>
      <c r="B422" t="s">
        <v>156</v>
      </c>
      <c r="C422" t="s">
        <v>139</v>
      </c>
      <c r="D422" t="s">
        <v>139</v>
      </c>
      <c r="E422" t="s">
        <v>139</v>
      </c>
      <c r="F422" t="s">
        <v>139</v>
      </c>
      <c r="G422" t="s">
        <v>139</v>
      </c>
      <c r="H422" t="s">
        <v>139</v>
      </c>
    </row>
    <row r="423" spans="1:9" hidden="1" x14ac:dyDescent="0.25">
      <c r="A423">
        <v>414</v>
      </c>
      <c r="B423" t="s">
        <v>614</v>
      </c>
      <c r="C423">
        <v>1</v>
      </c>
      <c r="D423" t="s">
        <v>139</v>
      </c>
      <c r="E423" t="s">
        <v>615</v>
      </c>
      <c r="F423" t="s">
        <v>139</v>
      </c>
      <c r="G423" t="s">
        <v>139</v>
      </c>
      <c r="H423" t="s">
        <v>640</v>
      </c>
      <c r="I423" t="str">
        <f>_xlfn.XLOOKUP(H423,'SO-DIMM-i9'!A:A,'SO-DIMM-i9'!B:B,_xlfn.XLOOKUP(H423,'SO-DIMM-i9'!H:H,'SO-DIMM-i9'!G:G,""))</f>
        <v/>
      </c>
    </row>
    <row r="424" spans="1:9" hidden="1" x14ac:dyDescent="0.25">
      <c r="A424">
        <v>415</v>
      </c>
      <c r="B424" t="s">
        <v>617</v>
      </c>
      <c r="C424">
        <v>1</v>
      </c>
      <c r="D424" t="s">
        <v>139</v>
      </c>
      <c r="E424" t="s">
        <v>618</v>
      </c>
      <c r="F424" t="s">
        <v>139</v>
      </c>
      <c r="G424" t="s">
        <v>139</v>
      </c>
      <c r="H424" t="s">
        <v>643</v>
      </c>
      <c r="I424" t="str">
        <f>_xlfn.XLOOKUP(H424,'SO-DIMM-i9'!A:A,'SO-DIMM-i9'!B:B,_xlfn.XLOOKUP(H424,'SO-DIMM-i9'!H:H,'SO-DIMM-i9'!G:G,""))</f>
        <v/>
      </c>
    </row>
    <row r="425" spans="1:9" hidden="1" x14ac:dyDescent="0.25">
      <c r="A425">
        <v>416</v>
      </c>
      <c r="B425" t="s">
        <v>588</v>
      </c>
      <c r="C425" t="s">
        <v>139</v>
      </c>
      <c r="D425" t="s">
        <v>139</v>
      </c>
      <c r="E425" t="s">
        <v>139</v>
      </c>
      <c r="F425" t="s">
        <v>139</v>
      </c>
      <c r="G425" t="s">
        <v>139</v>
      </c>
      <c r="H425" t="s">
        <v>139</v>
      </c>
    </row>
    <row r="426" spans="1:9" hidden="1" x14ac:dyDescent="0.25">
      <c r="A426">
        <v>417</v>
      </c>
      <c r="B426" t="s">
        <v>620</v>
      </c>
      <c r="C426">
        <v>1</v>
      </c>
      <c r="D426" t="s">
        <v>139</v>
      </c>
      <c r="E426" t="s">
        <v>621</v>
      </c>
      <c r="F426" t="s">
        <v>139</v>
      </c>
      <c r="G426" t="s">
        <v>139</v>
      </c>
      <c r="H426" t="s">
        <v>646</v>
      </c>
      <c r="I426" t="str">
        <f>_xlfn.XLOOKUP(H426,'SO-DIMM-i9'!A:A,'SO-DIMM-i9'!B:B,_xlfn.XLOOKUP(H426,'SO-DIMM-i9'!H:H,'SO-DIMM-i9'!G:G,""))</f>
        <v/>
      </c>
    </row>
    <row r="427" spans="1:9" hidden="1" x14ac:dyDescent="0.25">
      <c r="A427">
        <v>418</v>
      </c>
      <c r="B427" t="s">
        <v>623</v>
      </c>
      <c r="C427">
        <v>1</v>
      </c>
      <c r="D427" t="s">
        <v>139</v>
      </c>
      <c r="E427" t="s">
        <v>624</v>
      </c>
      <c r="F427" t="s">
        <v>139</v>
      </c>
      <c r="G427" t="s">
        <v>139</v>
      </c>
      <c r="H427" t="s">
        <v>649</v>
      </c>
      <c r="I427" t="str">
        <f>_xlfn.XLOOKUP(H427,'SO-DIMM-i9'!A:A,'SO-DIMM-i9'!B:B,_xlfn.XLOOKUP(H427,'SO-DIMM-i9'!H:H,'SO-DIMM-i9'!G:G,""))</f>
        <v/>
      </c>
    </row>
    <row r="428" spans="1:9" hidden="1" x14ac:dyDescent="0.25">
      <c r="A428">
        <v>419</v>
      </c>
      <c r="B428" t="s">
        <v>593</v>
      </c>
      <c r="C428" t="s">
        <v>139</v>
      </c>
      <c r="D428" t="s">
        <v>139</v>
      </c>
      <c r="E428" t="s">
        <v>139</v>
      </c>
      <c r="F428" t="s">
        <v>139</v>
      </c>
      <c r="G428" t="s">
        <v>139</v>
      </c>
      <c r="H428" t="s">
        <v>139</v>
      </c>
    </row>
    <row r="429" spans="1:9" hidden="1" x14ac:dyDescent="0.25">
      <c r="A429">
        <v>420</v>
      </c>
      <c r="B429" t="s">
        <v>626</v>
      </c>
      <c r="C429">
        <v>1</v>
      </c>
      <c r="D429" t="s">
        <v>139</v>
      </c>
      <c r="E429" t="s">
        <v>627</v>
      </c>
      <c r="F429" t="s">
        <v>139</v>
      </c>
      <c r="G429" t="s">
        <v>139</v>
      </c>
      <c r="H429" t="s">
        <v>652</v>
      </c>
      <c r="I429" t="str">
        <f>_xlfn.XLOOKUP(H429,'SO-DIMM-i9'!A:A,'SO-DIMM-i9'!B:B,_xlfn.XLOOKUP(H429,'SO-DIMM-i9'!H:H,'SO-DIMM-i9'!G:G,""))</f>
        <v/>
      </c>
    </row>
    <row r="430" spans="1:9" hidden="1" x14ac:dyDescent="0.25">
      <c r="A430">
        <v>421</v>
      </c>
      <c r="B430" t="s">
        <v>629</v>
      </c>
      <c r="C430">
        <v>1</v>
      </c>
      <c r="D430" t="s">
        <v>139</v>
      </c>
      <c r="E430" t="s">
        <v>630</v>
      </c>
      <c r="F430" t="s">
        <v>139</v>
      </c>
      <c r="G430" t="s">
        <v>139</v>
      </c>
      <c r="H430" t="s">
        <v>655</v>
      </c>
      <c r="I430" t="str">
        <f>_xlfn.XLOOKUP(H430,'SO-DIMM-i9'!A:A,'SO-DIMM-i9'!B:B,_xlfn.XLOOKUP(H430,'SO-DIMM-i9'!H:H,'SO-DIMM-i9'!G:G,""))</f>
        <v/>
      </c>
    </row>
    <row r="431" spans="1:9" hidden="1" x14ac:dyDescent="0.25">
      <c r="A431">
        <v>422</v>
      </c>
      <c r="B431" t="s">
        <v>588</v>
      </c>
      <c r="C431" t="s">
        <v>139</v>
      </c>
      <c r="D431" t="s">
        <v>139</v>
      </c>
      <c r="E431" t="s">
        <v>139</v>
      </c>
      <c r="F431" t="s">
        <v>139</v>
      </c>
      <c r="G431" t="s">
        <v>139</v>
      </c>
      <c r="H431" t="s">
        <v>139</v>
      </c>
    </row>
    <row r="432" spans="1:9" hidden="1" x14ac:dyDescent="0.25">
      <c r="A432">
        <v>423</v>
      </c>
      <c r="B432" t="s">
        <v>632</v>
      </c>
      <c r="C432">
        <v>1</v>
      </c>
      <c r="D432" t="s">
        <v>657</v>
      </c>
      <c r="E432" t="s">
        <v>633</v>
      </c>
      <c r="F432" t="s">
        <v>139</v>
      </c>
      <c r="G432" t="s">
        <v>139</v>
      </c>
      <c r="H432" t="s">
        <v>659</v>
      </c>
      <c r="I432" t="str">
        <f>_xlfn.XLOOKUP(H432,'SO-DIMM-i9'!A:A,'SO-DIMM-i9'!B:B,_xlfn.XLOOKUP(H432,'SO-DIMM-i9'!H:H,'SO-DIMM-i9'!G:G,""))</f>
        <v/>
      </c>
    </row>
    <row r="433" spans="1:9" hidden="1" x14ac:dyDescent="0.25">
      <c r="A433">
        <v>424</v>
      </c>
      <c r="B433" t="s">
        <v>635</v>
      </c>
      <c r="C433">
        <v>1</v>
      </c>
      <c r="D433" t="s">
        <v>139</v>
      </c>
      <c r="E433" t="s">
        <v>636</v>
      </c>
      <c r="F433" t="s">
        <v>139</v>
      </c>
      <c r="G433" t="s">
        <v>139</v>
      </c>
      <c r="H433" t="s">
        <v>662</v>
      </c>
      <c r="I433" t="str">
        <f>_xlfn.XLOOKUP(H433,'SO-DIMM-i9'!A:A,'SO-DIMM-i9'!B:B,_xlfn.XLOOKUP(H433,'SO-DIMM-i9'!H:H,'SO-DIMM-i9'!G:G,""))</f>
        <v/>
      </c>
    </row>
    <row r="434" spans="1:9" hidden="1" x14ac:dyDescent="0.25">
      <c r="A434">
        <v>425</v>
      </c>
      <c r="B434" t="s">
        <v>593</v>
      </c>
      <c r="C434" t="s">
        <v>139</v>
      </c>
      <c r="D434" t="s">
        <v>139</v>
      </c>
      <c r="E434" t="s">
        <v>139</v>
      </c>
      <c r="F434" t="s">
        <v>139</v>
      </c>
      <c r="G434" t="s">
        <v>139</v>
      </c>
      <c r="H434" t="s">
        <v>139</v>
      </c>
    </row>
    <row r="435" spans="1:9" hidden="1" x14ac:dyDescent="0.25">
      <c r="A435">
        <v>426</v>
      </c>
      <c r="B435" t="s">
        <v>638</v>
      </c>
      <c r="C435">
        <v>1</v>
      </c>
      <c r="D435" t="s">
        <v>664</v>
      </c>
      <c r="E435" t="s">
        <v>639</v>
      </c>
      <c r="F435" t="s">
        <v>139</v>
      </c>
      <c r="G435" t="s">
        <v>139</v>
      </c>
      <c r="H435" t="s">
        <v>666</v>
      </c>
      <c r="I435" t="str">
        <f>_xlfn.XLOOKUP(H435,'SO-DIMM-i9'!A:A,'SO-DIMM-i9'!B:B,_xlfn.XLOOKUP(H435,'SO-DIMM-i9'!H:H,'SO-DIMM-i9'!G:G,""))</f>
        <v/>
      </c>
    </row>
    <row r="436" spans="1:9" hidden="1" x14ac:dyDescent="0.25">
      <c r="A436">
        <v>427</v>
      </c>
      <c r="B436" t="s">
        <v>641</v>
      </c>
      <c r="C436">
        <v>1</v>
      </c>
      <c r="D436" t="s">
        <v>668</v>
      </c>
      <c r="E436" t="s">
        <v>642</v>
      </c>
      <c r="F436" t="s">
        <v>139</v>
      </c>
      <c r="G436" t="s">
        <v>139</v>
      </c>
      <c r="H436" t="s">
        <v>670</v>
      </c>
      <c r="I436" t="str">
        <f>_xlfn.XLOOKUP(H436,'SO-DIMM-i9'!A:A,'SO-DIMM-i9'!B:B,_xlfn.XLOOKUP(H436,'SO-DIMM-i9'!H:H,'SO-DIMM-i9'!G:G,""))</f>
        <v/>
      </c>
    </row>
    <row r="437" spans="1:9" hidden="1" x14ac:dyDescent="0.25">
      <c r="A437">
        <v>428</v>
      </c>
      <c r="B437" t="s">
        <v>161</v>
      </c>
      <c r="C437" t="s">
        <v>139</v>
      </c>
      <c r="D437" t="s">
        <v>139</v>
      </c>
      <c r="E437" t="s">
        <v>139</v>
      </c>
      <c r="F437" t="s">
        <v>139</v>
      </c>
      <c r="G437" t="s">
        <v>139</v>
      </c>
      <c r="H437" t="s">
        <v>139</v>
      </c>
    </row>
    <row r="438" spans="1:9" hidden="1" x14ac:dyDescent="0.25">
      <c r="A438">
        <v>429</v>
      </c>
      <c r="B438" t="s">
        <v>644</v>
      </c>
      <c r="C438">
        <v>1</v>
      </c>
      <c r="D438" t="s">
        <v>672</v>
      </c>
      <c r="E438" t="s">
        <v>645</v>
      </c>
      <c r="F438" t="s">
        <v>139</v>
      </c>
      <c r="G438" t="s">
        <v>139</v>
      </c>
      <c r="H438" t="s">
        <v>674</v>
      </c>
      <c r="I438" t="str">
        <f>_xlfn.XLOOKUP(H438,'SO-DIMM-i9'!A:A,'SO-DIMM-i9'!B:B,_xlfn.XLOOKUP(H438,'SO-DIMM-i9'!H:H,'SO-DIMM-i9'!G:G,""))</f>
        <v/>
      </c>
    </row>
    <row r="439" spans="1:9" hidden="1" x14ac:dyDescent="0.25">
      <c r="A439">
        <v>430</v>
      </c>
      <c r="B439" t="s">
        <v>647</v>
      </c>
      <c r="C439">
        <v>1</v>
      </c>
      <c r="D439" t="s">
        <v>676</v>
      </c>
      <c r="E439" t="s">
        <v>648</v>
      </c>
      <c r="F439" t="s">
        <v>139</v>
      </c>
      <c r="G439" t="s">
        <v>139</v>
      </c>
      <c r="H439" t="s">
        <v>678</v>
      </c>
      <c r="I439" t="str">
        <f>_xlfn.XLOOKUP(H439,'SO-DIMM-i9'!A:A,'SO-DIMM-i9'!B:B,_xlfn.XLOOKUP(H439,'SO-DIMM-i9'!H:H,'SO-DIMM-i9'!G:G,""))</f>
        <v/>
      </c>
    </row>
    <row r="440" spans="1:9" hidden="1" x14ac:dyDescent="0.25">
      <c r="A440">
        <v>431</v>
      </c>
      <c r="B440" t="s">
        <v>167</v>
      </c>
      <c r="C440" t="s">
        <v>139</v>
      </c>
      <c r="D440" t="s">
        <v>139</v>
      </c>
      <c r="E440" t="s">
        <v>139</v>
      </c>
      <c r="F440" t="s">
        <v>139</v>
      </c>
      <c r="G440" t="s">
        <v>139</v>
      </c>
      <c r="H440" t="s">
        <v>139</v>
      </c>
    </row>
    <row r="441" spans="1:9" hidden="1" x14ac:dyDescent="0.25">
      <c r="A441">
        <v>432</v>
      </c>
      <c r="B441" t="s">
        <v>650</v>
      </c>
      <c r="C441">
        <v>1</v>
      </c>
      <c r="D441" t="s">
        <v>680</v>
      </c>
      <c r="E441" t="s">
        <v>651</v>
      </c>
      <c r="F441" t="s">
        <v>139</v>
      </c>
      <c r="G441" t="s">
        <v>139</v>
      </c>
      <c r="H441" t="s">
        <v>682</v>
      </c>
      <c r="I441" t="str">
        <f>_xlfn.XLOOKUP(H441,'SO-DIMM-i9'!A:A,'SO-DIMM-i9'!B:B,_xlfn.XLOOKUP(H441,'SO-DIMM-i9'!H:H,'SO-DIMM-i9'!G:G,""))</f>
        <v/>
      </c>
    </row>
    <row r="442" spans="1:9" hidden="1" x14ac:dyDescent="0.25">
      <c r="A442">
        <v>433</v>
      </c>
      <c r="B442" t="s">
        <v>161</v>
      </c>
      <c r="C442" t="s">
        <v>139</v>
      </c>
      <c r="D442" t="s">
        <v>139</v>
      </c>
      <c r="E442" t="s">
        <v>139</v>
      </c>
      <c r="F442" t="s">
        <v>139</v>
      </c>
      <c r="G442" t="s">
        <v>139</v>
      </c>
      <c r="H442" t="s">
        <v>139</v>
      </c>
    </row>
    <row r="443" spans="1:9" hidden="1" x14ac:dyDescent="0.25">
      <c r="A443">
        <v>434</v>
      </c>
      <c r="B443" t="s">
        <v>167</v>
      </c>
      <c r="C443" t="s">
        <v>139</v>
      </c>
      <c r="D443" t="s">
        <v>139</v>
      </c>
      <c r="E443" t="s">
        <v>139</v>
      </c>
      <c r="F443" t="s">
        <v>139</v>
      </c>
      <c r="G443" t="s">
        <v>139</v>
      </c>
      <c r="H443" t="s">
        <v>139</v>
      </c>
    </row>
    <row r="444" spans="1:9" hidden="1" x14ac:dyDescent="0.25">
      <c r="A444">
        <v>435</v>
      </c>
      <c r="B444" t="s">
        <v>656</v>
      </c>
      <c r="C444">
        <v>0</v>
      </c>
      <c r="D444" t="s">
        <v>684</v>
      </c>
      <c r="E444" t="s">
        <v>658</v>
      </c>
      <c r="F444" t="s">
        <v>139</v>
      </c>
      <c r="G444" t="s">
        <v>139</v>
      </c>
      <c r="H444" t="s">
        <v>686</v>
      </c>
      <c r="I444" t="str">
        <f>_xlfn.XLOOKUP(H444,'SO-DIMM-i9'!A:A,'SO-DIMM-i9'!B:B,_xlfn.XLOOKUP(H444,'SO-DIMM-i9'!H:H,'SO-DIMM-i9'!G:G,""))</f>
        <v/>
      </c>
    </row>
    <row r="445" spans="1:9" hidden="1" x14ac:dyDescent="0.25">
      <c r="A445">
        <v>436</v>
      </c>
      <c r="B445" t="s">
        <v>161</v>
      </c>
      <c r="C445" t="s">
        <v>139</v>
      </c>
      <c r="D445" t="s">
        <v>139</v>
      </c>
      <c r="E445" t="s">
        <v>139</v>
      </c>
      <c r="F445" t="s">
        <v>139</v>
      </c>
      <c r="G445" t="s">
        <v>139</v>
      </c>
      <c r="H445" t="s">
        <v>139</v>
      </c>
    </row>
    <row r="446" spans="1:9" hidden="1" x14ac:dyDescent="0.25">
      <c r="A446">
        <v>437</v>
      </c>
      <c r="B446" t="s">
        <v>1104</v>
      </c>
      <c r="C446">
        <v>0</v>
      </c>
      <c r="D446" t="s">
        <v>689</v>
      </c>
      <c r="E446" t="s">
        <v>1105</v>
      </c>
      <c r="F446" t="s">
        <v>139</v>
      </c>
      <c r="G446" t="s">
        <v>139</v>
      </c>
      <c r="H446" t="s">
        <v>691</v>
      </c>
      <c r="I446" t="str">
        <f>_xlfn.XLOOKUP(H446,'SO-DIMM-i9'!A:A,'SO-DIMM-i9'!B:B,_xlfn.XLOOKUP(H446,'SO-DIMM-i9'!H:H,'SO-DIMM-i9'!G:G,""))</f>
        <v/>
      </c>
    </row>
    <row r="447" spans="1:9" hidden="1" x14ac:dyDescent="0.25">
      <c r="A447">
        <v>438</v>
      </c>
      <c r="B447" t="s">
        <v>663</v>
      </c>
      <c r="C447">
        <v>0</v>
      </c>
      <c r="D447" t="s">
        <v>693</v>
      </c>
      <c r="E447" t="s">
        <v>665</v>
      </c>
      <c r="F447" t="s">
        <v>139</v>
      </c>
      <c r="G447" t="s">
        <v>139</v>
      </c>
      <c r="H447" t="s">
        <v>695</v>
      </c>
      <c r="I447" t="str">
        <f>_xlfn.XLOOKUP(H447,'SO-DIMM-i9'!A:A,'SO-DIMM-i9'!B:B,_xlfn.XLOOKUP(H447,'SO-DIMM-i9'!H:H,'SO-DIMM-i9'!G:G,""))</f>
        <v/>
      </c>
    </row>
    <row r="448" spans="1:9" hidden="1" x14ac:dyDescent="0.25">
      <c r="A448">
        <v>439</v>
      </c>
      <c r="B448" t="s">
        <v>156</v>
      </c>
      <c r="C448" t="s">
        <v>139</v>
      </c>
      <c r="D448" t="s">
        <v>139</v>
      </c>
      <c r="E448" t="s">
        <v>139</v>
      </c>
      <c r="F448" t="s">
        <v>139</v>
      </c>
      <c r="G448" t="s">
        <v>139</v>
      </c>
      <c r="H448" t="s">
        <v>139</v>
      </c>
    </row>
    <row r="449" spans="1:9" hidden="1" x14ac:dyDescent="0.25">
      <c r="A449">
        <v>440</v>
      </c>
      <c r="B449" t="s">
        <v>1106</v>
      </c>
      <c r="C449">
        <v>0</v>
      </c>
      <c r="D449" t="s">
        <v>698</v>
      </c>
      <c r="E449" t="s">
        <v>1107</v>
      </c>
      <c r="F449" t="s">
        <v>139</v>
      </c>
      <c r="G449" t="s">
        <v>139</v>
      </c>
      <c r="H449" t="s">
        <v>700</v>
      </c>
      <c r="I449" t="str">
        <f>_xlfn.XLOOKUP(H449,'SO-DIMM-i9'!A:A,'SO-DIMM-i9'!B:B,_xlfn.XLOOKUP(H449,'SO-DIMM-i9'!H:H,'SO-DIMM-i9'!G:G,""))</f>
        <v/>
      </c>
    </row>
    <row r="450" spans="1:9" hidden="1" x14ac:dyDescent="0.25">
      <c r="A450">
        <v>441</v>
      </c>
      <c r="B450" t="s">
        <v>671</v>
      </c>
      <c r="C450">
        <v>0</v>
      </c>
      <c r="D450" t="s">
        <v>702</v>
      </c>
      <c r="E450" t="s">
        <v>673</v>
      </c>
      <c r="F450" t="s">
        <v>139</v>
      </c>
      <c r="G450" t="s">
        <v>139</v>
      </c>
      <c r="H450" t="s">
        <v>704</v>
      </c>
      <c r="I450" t="str">
        <f>_xlfn.XLOOKUP(H450,'SO-DIMM-i9'!A:A,'SO-DIMM-i9'!B:B,_xlfn.XLOOKUP(H450,'SO-DIMM-i9'!H:H,'SO-DIMM-i9'!G:G,""))</f>
        <v/>
      </c>
    </row>
    <row r="451" spans="1:9" hidden="1" x14ac:dyDescent="0.25">
      <c r="A451">
        <v>442</v>
      </c>
      <c r="B451" t="s">
        <v>687</v>
      </c>
      <c r="C451" t="s">
        <v>139</v>
      </c>
      <c r="D451" t="s">
        <v>139</v>
      </c>
      <c r="E451" t="s">
        <v>139</v>
      </c>
      <c r="F451" t="s">
        <v>139</v>
      </c>
      <c r="G451" t="s">
        <v>139</v>
      </c>
      <c r="H451" t="s">
        <v>139</v>
      </c>
    </row>
    <row r="452" spans="1:9" hidden="1" x14ac:dyDescent="0.25">
      <c r="A452">
        <v>443</v>
      </c>
      <c r="B452" t="s">
        <v>1108</v>
      </c>
      <c r="C452">
        <v>0</v>
      </c>
      <c r="D452" t="s">
        <v>139</v>
      </c>
      <c r="E452" t="s">
        <v>1109</v>
      </c>
      <c r="F452" t="s">
        <v>139</v>
      </c>
      <c r="G452" t="s">
        <v>139</v>
      </c>
      <c r="H452" t="s">
        <v>707</v>
      </c>
      <c r="I452" t="str">
        <f>_xlfn.XLOOKUP(H452,'SO-DIMM-i9'!A:A,'SO-DIMM-i9'!B:B,_xlfn.XLOOKUP(H452,'SO-DIMM-i9'!H:H,'SO-DIMM-i9'!G:G,""))</f>
        <v/>
      </c>
    </row>
    <row r="453" spans="1:9" hidden="1" x14ac:dyDescent="0.25">
      <c r="A453">
        <v>444</v>
      </c>
      <c r="B453" t="s">
        <v>679</v>
      </c>
      <c r="C453">
        <v>0</v>
      </c>
      <c r="D453" t="s">
        <v>709</v>
      </c>
      <c r="E453" t="s">
        <v>681</v>
      </c>
      <c r="F453" t="s">
        <v>139</v>
      </c>
      <c r="G453" t="s">
        <v>139</v>
      </c>
      <c r="H453" t="s">
        <v>711</v>
      </c>
      <c r="I453" t="str">
        <f>_xlfn.XLOOKUP(H453,'SO-DIMM-i9'!A:A,'SO-DIMM-i9'!B:B,_xlfn.XLOOKUP(H453,'SO-DIMM-i9'!H:H,'SO-DIMM-i9'!G:G,""))</f>
        <v/>
      </c>
    </row>
    <row r="454" spans="1:9" hidden="1" x14ac:dyDescent="0.25">
      <c r="A454">
        <v>445</v>
      </c>
      <c r="B454" t="s">
        <v>696</v>
      </c>
      <c r="C454" t="s">
        <v>139</v>
      </c>
      <c r="D454" t="s">
        <v>139</v>
      </c>
      <c r="E454" t="s">
        <v>139</v>
      </c>
      <c r="F454" t="s">
        <v>139</v>
      </c>
      <c r="G454" t="s">
        <v>139</v>
      </c>
      <c r="H454" t="s">
        <v>139</v>
      </c>
    </row>
    <row r="455" spans="1:9" hidden="1" x14ac:dyDescent="0.25">
      <c r="A455">
        <v>446</v>
      </c>
      <c r="B455" t="s">
        <v>1110</v>
      </c>
      <c r="C455">
        <v>0</v>
      </c>
      <c r="D455" t="s">
        <v>139</v>
      </c>
      <c r="E455" t="s">
        <v>1111</v>
      </c>
      <c r="F455" t="s">
        <v>139</v>
      </c>
      <c r="G455" t="s">
        <v>139</v>
      </c>
      <c r="H455" t="s">
        <v>714</v>
      </c>
      <c r="I455" t="str">
        <f>_xlfn.XLOOKUP(H455,'SO-DIMM-i9'!A:A,'SO-DIMM-i9'!B:B,_xlfn.XLOOKUP(H455,'SO-DIMM-i9'!H:H,'SO-DIMM-i9'!G:G,""))</f>
        <v/>
      </c>
    </row>
    <row r="456" spans="1:9" hidden="1" x14ac:dyDescent="0.25">
      <c r="A456">
        <v>447</v>
      </c>
      <c r="B456" t="s">
        <v>683</v>
      </c>
      <c r="C456">
        <v>0</v>
      </c>
      <c r="D456" t="s">
        <v>139</v>
      </c>
      <c r="E456" t="s">
        <v>685</v>
      </c>
      <c r="F456" t="s">
        <v>139</v>
      </c>
      <c r="G456" t="s">
        <v>139</v>
      </c>
      <c r="H456" t="s">
        <v>916</v>
      </c>
      <c r="I456" t="str">
        <f>_xlfn.XLOOKUP(H456,'SO-DIMM-i9'!A:A,'SO-DIMM-i9'!B:B,_xlfn.XLOOKUP(H456,'SO-DIMM-i9'!H:H,'SO-DIMM-i9'!G:G,""))</f>
        <v/>
      </c>
    </row>
    <row r="457" spans="1:9" hidden="1" x14ac:dyDescent="0.25">
      <c r="A457">
        <v>448</v>
      </c>
      <c r="B457" t="s">
        <v>687</v>
      </c>
      <c r="C457" t="s">
        <v>139</v>
      </c>
      <c r="D457" t="s">
        <v>139</v>
      </c>
      <c r="E457" t="s">
        <v>139</v>
      </c>
      <c r="F457" t="s">
        <v>139</v>
      </c>
      <c r="G457" t="s">
        <v>139</v>
      </c>
      <c r="H457" t="s">
        <v>139</v>
      </c>
    </row>
    <row r="458" spans="1:9" hidden="1" x14ac:dyDescent="0.25">
      <c r="A458">
        <v>449</v>
      </c>
      <c r="B458" t="s">
        <v>688</v>
      </c>
      <c r="C458">
        <v>0</v>
      </c>
      <c r="D458" t="s">
        <v>139</v>
      </c>
      <c r="E458" t="s">
        <v>690</v>
      </c>
      <c r="F458" t="s">
        <v>139</v>
      </c>
      <c r="G458" t="s">
        <v>139</v>
      </c>
      <c r="H458" t="s">
        <v>139</v>
      </c>
    </row>
    <row r="459" spans="1:9" hidden="1" x14ac:dyDescent="0.25">
      <c r="A459">
        <v>450</v>
      </c>
      <c r="B459" t="s">
        <v>692</v>
      </c>
      <c r="C459">
        <v>0</v>
      </c>
      <c r="D459" t="s">
        <v>139</v>
      </c>
      <c r="E459" t="s">
        <v>694</v>
      </c>
      <c r="F459" t="s">
        <v>139</v>
      </c>
      <c r="G459" t="s">
        <v>139</v>
      </c>
      <c r="H459" t="s">
        <v>915</v>
      </c>
      <c r="I459" t="str">
        <f>_xlfn.XLOOKUP(H459,'SO-DIMM-i9'!A:A,'SO-DIMM-i9'!B:B,_xlfn.XLOOKUP(H459,'SO-DIMM-i9'!H:H,'SO-DIMM-i9'!G:G,""))</f>
        <v/>
      </c>
    </row>
    <row r="460" spans="1:9" hidden="1" x14ac:dyDescent="0.25">
      <c r="A460">
        <v>451</v>
      </c>
      <c r="B460" t="s">
        <v>696</v>
      </c>
      <c r="C460" t="s">
        <v>139</v>
      </c>
      <c r="D460" t="s">
        <v>139</v>
      </c>
      <c r="E460" t="s">
        <v>139</v>
      </c>
      <c r="F460" t="s">
        <v>139</v>
      </c>
      <c r="G460" t="s">
        <v>139</v>
      </c>
      <c r="H460" t="s">
        <v>139</v>
      </c>
    </row>
    <row r="461" spans="1:9" hidden="1" x14ac:dyDescent="0.25">
      <c r="A461">
        <v>452</v>
      </c>
      <c r="B461" t="s">
        <v>697</v>
      </c>
      <c r="C461">
        <v>0</v>
      </c>
      <c r="D461" t="s">
        <v>139</v>
      </c>
      <c r="E461" t="s">
        <v>699</v>
      </c>
      <c r="F461" t="s">
        <v>139</v>
      </c>
      <c r="G461" t="s">
        <v>139</v>
      </c>
      <c r="H461" t="s">
        <v>917</v>
      </c>
      <c r="I461" t="str">
        <f>_xlfn.XLOOKUP(H461,'SO-DIMM-i9'!A:A,'SO-DIMM-i9'!B:B,_xlfn.XLOOKUP(H461,'SO-DIMM-i9'!H:H,'SO-DIMM-i9'!G:G,""))</f>
        <v/>
      </c>
    </row>
    <row r="462" spans="1:9" hidden="1" x14ac:dyDescent="0.25">
      <c r="A462">
        <v>453</v>
      </c>
      <c r="B462" t="s">
        <v>701</v>
      </c>
      <c r="C462">
        <v>0</v>
      </c>
      <c r="D462" t="s">
        <v>139</v>
      </c>
      <c r="E462" t="s">
        <v>703</v>
      </c>
      <c r="F462" t="s">
        <v>139</v>
      </c>
      <c r="G462" t="s">
        <v>139</v>
      </c>
      <c r="H462" t="s">
        <v>139</v>
      </c>
    </row>
    <row r="463" spans="1:9" hidden="1" x14ac:dyDescent="0.25">
      <c r="A463">
        <v>454</v>
      </c>
      <c r="B463" t="s">
        <v>161</v>
      </c>
      <c r="C463" t="s">
        <v>139</v>
      </c>
      <c r="D463" t="s">
        <v>139</v>
      </c>
      <c r="E463" t="s">
        <v>139</v>
      </c>
      <c r="F463" t="s">
        <v>139</v>
      </c>
      <c r="G463" t="s">
        <v>139</v>
      </c>
      <c r="H463" t="s">
        <v>139</v>
      </c>
    </row>
    <row r="464" spans="1:9" hidden="1" x14ac:dyDescent="0.25">
      <c r="A464">
        <v>455</v>
      </c>
      <c r="B464" t="s">
        <v>705</v>
      </c>
      <c r="C464">
        <v>0</v>
      </c>
      <c r="D464" t="s">
        <v>139</v>
      </c>
      <c r="E464" t="s">
        <v>706</v>
      </c>
      <c r="F464" t="s">
        <v>139</v>
      </c>
      <c r="G464" t="s">
        <v>139</v>
      </c>
      <c r="H464" t="s">
        <v>139</v>
      </c>
    </row>
    <row r="465" spans="1:9" hidden="1" x14ac:dyDescent="0.25">
      <c r="A465">
        <v>456</v>
      </c>
      <c r="B465" t="s">
        <v>708</v>
      </c>
      <c r="C465">
        <v>0</v>
      </c>
      <c r="D465" t="s">
        <v>139</v>
      </c>
      <c r="E465" t="s">
        <v>710</v>
      </c>
      <c r="F465" t="s">
        <v>139</v>
      </c>
      <c r="G465" t="s">
        <v>139</v>
      </c>
      <c r="H465" t="s">
        <v>139</v>
      </c>
    </row>
    <row r="466" spans="1:9" hidden="1" x14ac:dyDescent="0.25">
      <c r="A466">
        <v>457</v>
      </c>
      <c r="B466" t="s">
        <v>167</v>
      </c>
      <c r="C466" t="s">
        <v>139</v>
      </c>
      <c r="D466" t="s">
        <v>139</v>
      </c>
      <c r="E466" t="s">
        <v>139</v>
      </c>
      <c r="F466" t="s">
        <v>139</v>
      </c>
      <c r="G466" t="s">
        <v>139</v>
      </c>
      <c r="H466" t="s">
        <v>139</v>
      </c>
    </row>
    <row r="467" spans="1:9" hidden="1" x14ac:dyDescent="0.25">
      <c r="A467">
        <v>458</v>
      </c>
      <c r="B467" t="s">
        <v>712</v>
      </c>
      <c r="C467">
        <v>0</v>
      </c>
      <c r="D467" t="s">
        <v>139</v>
      </c>
      <c r="E467" t="s">
        <v>713</v>
      </c>
      <c r="F467" t="s">
        <v>139</v>
      </c>
      <c r="G467" t="s">
        <v>139</v>
      </c>
      <c r="H467" t="s">
        <v>139</v>
      </c>
    </row>
    <row r="468" spans="1:9" hidden="1" x14ac:dyDescent="0.25">
      <c r="A468">
        <v>459</v>
      </c>
      <c r="B468" t="s">
        <v>715</v>
      </c>
      <c r="C468">
        <v>0</v>
      </c>
      <c r="D468" t="s">
        <v>139</v>
      </c>
      <c r="E468" t="s">
        <v>716</v>
      </c>
      <c r="F468" t="s">
        <v>139</v>
      </c>
      <c r="G468" t="s">
        <v>139</v>
      </c>
      <c r="H468" t="s">
        <v>717</v>
      </c>
      <c r="I468" t="str">
        <f>_xlfn.XLOOKUP(H468,'SO-DIMM-i9'!A:A,'SO-DIMM-i9'!B:B,_xlfn.XLOOKUP(H468,'SO-DIMM-i9'!H:H,'SO-DIMM-i9'!G:G,""))</f>
        <v/>
      </c>
    </row>
    <row r="469" spans="1:9" hidden="1" x14ac:dyDescent="0.25">
      <c r="A469">
        <v>460</v>
      </c>
      <c r="B469" t="s">
        <v>161</v>
      </c>
      <c r="C469" t="s">
        <v>139</v>
      </c>
      <c r="D469" t="s">
        <v>139</v>
      </c>
      <c r="E469" t="s">
        <v>139</v>
      </c>
      <c r="F469" t="s">
        <v>139</v>
      </c>
      <c r="G469" t="s">
        <v>139</v>
      </c>
      <c r="H469" t="s">
        <v>139</v>
      </c>
    </row>
    <row r="470" spans="1:9" hidden="1" x14ac:dyDescent="0.25">
      <c r="A470">
        <v>461</v>
      </c>
      <c r="B470" t="s">
        <v>718</v>
      </c>
      <c r="C470">
        <v>0</v>
      </c>
      <c r="D470" t="s">
        <v>139</v>
      </c>
      <c r="E470" t="s">
        <v>719</v>
      </c>
      <c r="F470" t="s">
        <v>139</v>
      </c>
      <c r="G470" t="s">
        <v>139</v>
      </c>
      <c r="H470" t="s">
        <v>720</v>
      </c>
      <c r="I470" t="str">
        <f>_xlfn.XLOOKUP(H470,'SO-DIMM-i9'!A:A,'SO-DIMM-i9'!B:B,_xlfn.XLOOKUP(H470,'SO-DIMM-i9'!H:H,'SO-DIMM-i9'!G:G,""))</f>
        <v/>
      </c>
    </row>
    <row r="471" spans="1:9" hidden="1" x14ac:dyDescent="0.25">
      <c r="A471">
        <v>462</v>
      </c>
      <c r="B471" t="s">
        <v>721</v>
      </c>
      <c r="C471">
        <v>0</v>
      </c>
      <c r="D471" t="s">
        <v>139</v>
      </c>
      <c r="E471" t="s">
        <v>722</v>
      </c>
      <c r="F471" t="s">
        <v>139</v>
      </c>
      <c r="G471" t="s">
        <v>139</v>
      </c>
      <c r="H471" t="s">
        <v>723</v>
      </c>
      <c r="I471" t="str">
        <f>_xlfn.XLOOKUP(H471,'SO-DIMM-i9'!A:A,'SO-DIMM-i9'!B:B,_xlfn.XLOOKUP(H471,'SO-DIMM-i9'!H:H,'SO-DIMM-i9'!G:G,""))</f>
        <v/>
      </c>
    </row>
    <row r="472" spans="1:9" hidden="1" x14ac:dyDescent="0.25">
      <c r="A472">
        <v>463</v>
      </c>
      <c r="B472" t="s">
        <v>156</v>
      </c>
      <c r="C472" t="s">
        <v>139</v>
      </c>
      <c r="D472" t="s">
        <v>139</v>
      </c>
      <c r="E472" t="s">
        <v>139</v>
      </c>
      <c r="F472" t="s">
        <v>139</v>
      </c>
      <c r="G472" t="s">
        <v>139</v>
      </c>
      <c r="H472" t="s">
        <v>139</v>
      </c>
    </row>
    <row r="473" spans="1:9" hidden="1" x14ac:dyDescent="0.25">
      <c r="A473">
        <v>464</v>
      </c>
      <c r="B473" t="s">
        <v>724</v>
      </c>
      <c r="C473">
        <v>0</v>
      </c>
      <c r="D473" t="s">
        <v>139</v>
      </c>
      <c r="E473" t="s">
        <v>725</v>
      </c>
      <c r="F473" t="s">
        <v>139</v>
      </c>
      <c r="G473" t="s">
        <v>139</v>
      </c>
      <c r="H473" t="s">
        <v>726</v>
      </c>
      <c r="I473" t="str">
        <f>_xlfn.XLOOKUP(H473,'SO-DIMM-i9'!A:A,'SO-DIMM-i9'!B:B,_xlfn.XLOOKUP(H473,'SO-DIMM-i9'!H:H,'SO-DIMM-i9'!G:G,""))</f>
        <v/>
      </c>
    </row>
    <row r="474" spans="1:9" hidden="1" x14ac:dyDescent="0.25">
      <c r="A474">
        <v>465</v>
      </c>
      <c r="B474" t="s">
        <v>727</v>
      </c>
      <c r="C474">
        <v>0</v>
      </c>
      <c r="D474" t="s">
        <v>139</v>
      </c>
      <c r="E474" t="s">
        <v>728</v>
      </c>
      <c r="F474" t="s">
        <v>139</v>
      </c>
      <c r="G474" t="s">
        <v>139</v>
      </c>
      <c r="H474" t="s">
        <v>729</v>
      </c>
      <c r="I474" t="str">
        <f>_xlfn.XLOOKUP(H474,'SO-DIMM-i9'!A:A,'SO-DIMM-i9'!B:B,_xlfn.XLOOKUP(H474,'SO-DIMM-i9'!H:H,'SO-DIMM-i9'!G:G,""))</f>
        <v/>
      </c>
    </row>
    <row r="475" spans="1:9" hidden="1" x14ac:dyDescent="0.25">
      <c r="A475">
        <v>466</v>
      </c>
      <c r="B475" t="s">
        <v>687</v>
      </c>
      <c r="C475" t="s">
        <v>139</v>
      </c>
      <c r="D475" t="s">
        <v>139</v>
      </c>
      <c r="E475" t="s">
        <v>139</v>
      </c>
      <c r="F475" t="s">
        <v>139</v>
      </c>
      <c r="G475" t="s">
        <v>139</v>
      </c>
      <c r="H475" t="s">
        <v>139</v>
      </c>
    </row>
    <row r="476" spans="1:9" hidden="1" x14ac:dyDescent="0.25">
      <c r="A476">
        <v>467</v>
      </c>
      <c r="B476" t="s">
        <v>730</v>
      </c>
      <c r="C476">
        <v>0</v>
      </c>
      <c r="D476" t="s">
        <v>139</v>
      </c>
      <c r="E476" t="s">
        <v>731</v>
      </c>
      <c r="F476" t="s">
        <v>139</v>
      </c>
      <c r="G476" t="s">
        <v>139</v>
      </c>
      <c r="H476" t="s">
        <v>732</v>
      </c>
      <c r="I476" t="str">
        <f>_xlfn.XLOOKUP(H476,'SO-DIMM-i9'!A:A,'SO-DIMM-i9'!B:B,_xlfn.XLOOKUP(H476,'SO-DIMM-i9'!H:H,'SO-DIMM-i9'!G:G,""))</f>
        <v/>
      </c>
    </row>
    <row r="477" spans="1:9" hidden="1" x14ac:dyDescent="0.25">
      <c r="A477">
        <v>468</v>
      </c>
      <c r="B477" t="s">
        <v>733</v>
      </c>
      <c r="C477">
        <v>0</v>
      </c>
      <c r="D477" t="s">
        <v>139</v>
      </c>
      <c r="E477" t="s">
        <v>734</v>
      </c>
      <c r="F477" t="s">
        <v>139</v>
      </c>
      <c r="G477" t="s">
        <v>139</v>
      </c>
      <c r="H477" t="s">
        <v>735</v>
      </c>
      <c r="I477" t="str">
        <f>_xlfn.XLOOKUP(H477,'SO-DIMM-i9'!A:A,'SO-DIMM-i9'!B:B,_xlfn.XLOOKUP(H477,'SO-DIMM-i9'!H:H,'SO-DIMM-i9'!G:G,""))</f>
        <v/>
      </c>
    </row>
    <row r="478" spans="1:9" hidden="1" x14ac:dyDescent="0.25">
      <c r="A478">
        <v>469</v>
      </c>
      <c r="B478" t="s">
        <v>696</v>
      </c>
      <c r="C478" t="s">
        <v>139</v>
      </c>
      <c r="D478" t="s">
        <v>139</v>
      </c>
      <c r="E478" t="s">
        <v>139</v>
      </c>
      <c r="F478" t="s">
        <v>139</v>
      </c>
      <c r="G478" t="s">
        <v>139</v>
      </c>
      <c r="H478" t="s">
        <v>139</v>
      </c>
    </row>
    <row r="479" spans="1:9" hidden="1" x14ac:dyDescent="0.25">
      <c r="A479">
        <v>470</v>
      </c>
      <c r="B479" t="s">
        <v>736</v>
      </c>
      <c r="C479">
        <v>0</v>
      </c>
      <c r="D479" t="s">
        <v>139</v>
      </c>
      <c r="E479" t="s">
        <v>737</v>
      </c>
      <c r="F479" t="s">
        <v>139</v>
      </c>
      <c r="G479" t="s">
        <v>139</v>
      </c>
      <c r="H479" t="s">
        <v>738</v>
      </c>
      <c r="I479" t="str">
        <f>_xlfn.XLOOKUP(H479,'SO-DIMM-i9'!A:A,'SO-DIMM-i9'!B:B,_xlfn.XLOOKUP(H479,'SO-DIMM-i9'!H:H,'SO-DIMM-i9'!G:G,""))</f>
        <v/>
      </c>
    </row>
    <row r="480" spans="1:9" hidden="1" x14ac:dyDescent="0.25">
      <c r="A480">
        <v>471</v>
      </c>
      <c r="B480" t="s">
        <v>739</v>
      </c>
      <c r="C480">
        <v>0</v>
      </c>
      <c r="D480" t="s">
        <v>139</v>
      </c>
      <c r="E480" t="s">
        <v>740</v>
      </c>
      <c r="F480" t="s">
        <v>139</v>
      </c>
      <c r="G480" t="s">
        <v>139</v>
      </c>
      <c r="H480" t="s">
        <v>741</v>
      </c>
      <c r="I480" t="str">
        <f>_xlfn.XLOOKUP(H480,'SO-DIMM-i9'!A:A,'SO-DIMM-i9'!B:B,_xlfn.XLOOKUP(H480,'SO-DIMM-i9'!H:H,'SO-DIMM-i9'!G:G,""))</f>
        <v/>
      </c>
    </row>
    <row r="481" spans="1:9" hidden="1" x14ac:dyDescent="0.25">
      <c r="A481">
        <v>472</v>
      </c>
      <c r="B481" t="s">
        <v>687</v>
      </c>
      <c r="C481" t="s">
        <v>139</v>
      </c>
      <c r="D481" t="s">
        <v>139</v>
      </c>
      <c r="E481" t="s">
        <v>139</v>
      </c>
      <c r="F481" t="s">
        <v>139</v>
      </c>
      <c r="G481" t="s">
        <v>139</v>
      </c>
      <c r="H481" t="s">
        <v>139</v>
      </c>
    </row>
    <row r="482" spans="1:9" hidden="1" x14ac:dyDescent="0.25">
      <c r="A482">
        <v>473</v>
      </c>
      <c r="B482" t="s">
        <v>742</v>
      </c>
      <c r="C482">
        <v>0</v>
      </c>
      <c r="D482" t="s">
        <v>139</v>
      </c>
      <c r="E482" t="s">
        <v>743</v>
      </c>
      <c r="F482" t="s">
        <v>139</v>
      </c>
      <c r="G482" t="s">
        <v>139</v>
      </c>
      <c r="H482" t="s">
        <v>744</v>
      </c>
      <c r="I482" t="str">
        <f>_xlfn.XLOOKUP(H482,'SO-DIMM-i9'!A:A,'SO-DIMM-i9'!B:B,_xlfn.XLOOKUP(H482,'SO-DIMM-i9'!H:H,'SO-DIMM-i9'!G:G,""))</f>
        <v/>
      </c>
    </row>
    <row r="483" spans="1:9" hidden="1" x14ac:dyDescent="0.25">
      <c r="A483">
        <v>474</v>
      </c>
      <c r="B483" t="s">
        <v>745</v>
      </c>
      <c r="C483">
        <v>0</v>
      </c>
      <c r="D483" t="s">
        <v>139</v>
      </c>
      <c r="E483" t="s">
        <v>746</v>
      </c>
      <c r="F483" t="s">
        <v>139</v>
      </c>
      <c r="G483" t="s">
        <v>139</v>
      </c>
      <c r="H483" t="s">
        <v>747</v>
      </c>
      <c r="I483" t="str">
        <f>_xlfn.XLOOKUP(H483,'SO-DIMM-i9'!A:A,'SO-DIMM-i9'!B:B,_xlfn.XLOOKUP(H483,'SO-DIMM-i9'!H:H,'SO-DIMM-i9'!G:G,""))</f>
        <v/>
      </c>
    </row>
    <row r="484" spans="1:9" hidden="1" x14ac:dyDescent="0.25">
      <c r="A484">
        <v>475</v>
      </c>
      <c r="B484" t="s">
        <v>696</v>
      </c>
      <c r="C484" t="s">
        <v>139</v>
      </c>
      <c r="D484" t="s">
        <v>139</v>
      </c>
      <c r="E484" t="s">
        <v>139</v>
      </c>
      <c r="F484" t="s">
        <v>139</v>
      </c>
      <c r="G484" t="s">
        <v>139</v>
      </c>
      <c r="H484" t="s">
        <v>139</v>
      </c>
    </row>
    <row r="485" spans="1:9" hidden="1" x14ac:dyDescent="0.25">
      <c r="A485">
        <v>476</v>
      </c>
      <c r="B485" t="s">
        <v>748</v>
      </c>
      <c r="C485">
        <v>0</v>
      </c>
      <c r="D485" t="s">
        <v>139</v>
      </c>
      <c r="E485" t="s">
        <v>749</v>
      </c>
      <c r="F485" t="s">
        <v>139</v>
      </c>
      <c r="G485" t="s">
        <v>139</v>
      </c>
      <c r="H485" t="s">
        <v>750</v>
      </c>
      <c r="I485" t="str">
        <f>_xlfn.XLOOKUP(H485,'SO-DIMM-i9'!A:A,'SO-DIMM-i9'!B:B,_xlfn.XLOOKUP(H485,'SO-DIMM-i9'!H:H,'SO-DIMM-i9'!G:G,""))</f>
        <v/>
      </c>
    </row>
    <row r="486" spans="1:9" hidden="1" x14ac:dyDescent="0.25">
      <c r="A486">
        <v>477</v>
      </c>
      <c r="B486" t="s">
        <v>751</v>
      </c>
      <c r="C486">
        <v>0</v>
      </c>
      <c r="D486" t="s">
        <v>139</v>
      </c>
      <c r="E486" t="s">
        <v>752</v>
      </c>
      <c r="F486" t="s">
        <v>139</v>
      </c>
      <c r="G486" t="s">
        <v>139</v>
      </c>
      <c r="H486" t="s">
        <v>753</v>
      </c>
      <c r="I486" t="str">
        <f>_xlfn.XLOOKUP(H486,'SO-DIMM-i9'!A:A,'SO-DIMM-i9'!B:B,_xlfn.XLOOKUP(H486,'SO-DIMM-i9'!H:H,'SO-DIMM-i9'!G:G,""))</f>
        <v/>
      </c>
    </row>
    <row r="487" spans="1:9" hidden="1" x14ac:dyDescent="0.25">
      <c r="A487">
        <v>478</v>
      </c>
      <c r="B487" t="s">
        <v>161</v>
      </c>
      <c r="C487" t="s">
        <v>139</v>
      </c>
      <c r="D487" t="s">
        <v>139</v>
      </c>
      <c r="E487" t="s">
        <v>139</v>
      </c>
      <c r="F487" t="s">
        <v>139</v>
      </c>
      <c r="G487" t="s">
        <v>139</v>
      </c>
      <c r="H487" t="s">
        <v>139</v>
      </c>
    </row>
    <row r="488" spans="1:9" hidden="1" x14ac:dyDescent="0.25">
      <c r="A488">
        <v>479</v>
      </c>
      <c r="B488" t="s">
        <v>754</v>
      </c>
      <c r="C488">
        <v>0</v>
      </c>
      <c r="D488" t="s">
        <v>1112</v>
      </c>
      <c r="E488" t="s">
        <v>755</v>
      </c>
      <c r="F488" t="s">
        <v>139</v>
      </c>
      <c r="G488" t="s">
        <v>139</v>
      </c>
      <c r="H488" t="s">
        <v>756</v>
      </c>
      <c r="I488" t="str">
        <f>_xlfn.XLOOKUP(H488,'SO-DIMM-i9'!A:A,'SO-DIMM-i9'!B:B,_xlfn.XLOOKUP(H488,'SO-DIMM-i9'!H:H,'SO-DIMM-i9'!G:G,""))</f>
        <v/>
      </c>
    </row>
    <row r="489" spans="1:9" x14ac:dyDescent="0.25">
      <c r="A489">
        <v>480</v>
      </c>
      <c r="B489" t="s">
        <v>757</v>
      </c>
      <c r="C489">
        <v>0</v>
      </c>
      <c r="D489" t="s">
        <v>139</v>
      </c>
      <c r="E489" t="s">
        <v>758</v>
      </c>
      <c r="F489" t="s">
        <v>139</v>
      </c>
      <c r="G489" t="s">
        <v>139</v>
      </c>
      <c r="H489" t="s">
        <v>99</v>
      </c>
      <c r="I489">
        <f>_xlfn.XLOOKUP(H489,'SO-DIMM-i9'!A:A,'SO-DIMM-i9'!B:B,_xlfn.XLOOKUP(H489,'SO-DIMM-i9'!H:H,'SO-DIMM-i9'!G:G,""))</f>
        <v>122</v>
      </c>
    </row>
    <row r="490" spans="1:9" hidden="1" x14ac:dyDescent="0.25">
      <c r="A490">
        <v>481</v>
      </c>
      <c r="B490" t="s">
        <v>167</v>
      </c>
      <c r="C490" t="s">
        <v>139</v>
      </c>
      <c r="D490" t="s">
        <v>139</v>
      </c>
      <c r="E490" t="s">
        <v>139</v>
      </c>
      <c r="F490" t="s">
        <v>139</v>
      </c>
      <c r="G490" t="s">
        <v>139</v>
      </c>
      <c r="H490" t="s">
        <v>139</v>
      </c>
    </row>
    <row r="491" spans="1:9" hidden="1" x14ac:dyDescent="0.25">
      <c r="A491">
        <v>482</v>
      </c>
      <c r="B491" t="s">
        <v>759</v>
      </c>
      <c r="C491">
        <v>0</v>
      </c>
      <c r="D491" t="s">
        <v>1113</v>
      </c>
      <c r="E491" t="s">
        <v>760</v>
      </c>
      <c r="F491" t="s">
        <v>139</v>
      </c>
      <c r="G491" t="s">
        <v>139</v>
      </c>
      <c r="H491" t="s">
        <v>761</v>
      </c>
      <c r="I491" t="str">
        <f>_xlfn.XLOOKUP(H491,'SO-DIMM-i9'!A:A,'SO-DIMM-i9'!B:B,_xlfn.XLOOKUP(H491,'SO-DIMM-i9'!H:H,'SO-DIMM-i9'!G:G,""))</f>
        <v/>
      </c>
    </row>
    <row r="492" spans="1:9" hidden="1" x14ac:dyDescent="0.25">
      <c r="A492">
        <v>483</v>
      </c>
      <c r="B492" t="s">
        <v>161</v>
      </c>
      <c r="C492" t="s">
        <v>139</v>
      </c>
      <c r="D492" t="s">
        <v>139</v>
      </c>
      <c r="E492" t="s">
        <v>139</v>
      </c>
      <c r="F492" t="s">
        <v>139</v>
      </c>
      <c r="G492" t="s">
        <v>139</v>
      </c>
      <c r="H492" t="s">
        <v>139</v>
      </c>
    </row>
    <row r="493" spans="1:9" hidden="1" x14ac:dyDescent="0.25">
      <c r="A493">
        <v>484</v>
      </c>
      <c r="B493" t="s">
        <v>167</v>
      </c>
      <c r="C493" t="s">
        <v>139</v>
      </c>
      <c r="D493" t="s">
        <v>139</v>
      </c>
      <c r="E493" t="s">
        <v>139</v>
      </c>
      <c r="F493" t="s">
        <v>139</v>
      </c>
      <c r="G493" t="s">
        <v>139</v>
      </c>
      <c r="H493" t="s">
        <v>139</v>
      </c>
    </row>
    <row r="494" spans="1:9" hidden="1" x14ac:dyDescent="0.25">
      <c r="A494">
        <v>485</v>
      </c>
      <c r="B494" t="s">
        <v>167</v>
      </c>
      <c r="C494" t="s">
        <v>139</v>
      </c>
      <c r="D494" t="s">
        <v>139</v>
      </c>
      <c r="E494" t="s">
        <v>139</v>
      </c>
      <c r="F494" t="s">
        <v>139</v>
      </c>
      <c r="G494" t="s">
        <v>139</v>
      </c>
      <c r="H494" t="s">
        <v>139</v>
      </c>
    </row>
    <row r="495" spans="1:9" hidden="1" x14ac:dyDescent="0.25">
      <c r="A495">
        <v>486</v>
      </c>
      <c r="B495" t="s">
        <v>4</v>
      </c>
      <c r="C495" t="s">
        <v>139</v>
      </c>
      <c r="D495" t="s">
        <v>139</v>
      </c>
      <c r="E495" t="s">
        <v>139</v>
      </c>
      <c r="F495" t="s">
        <v>139</v>
      </c>
      <c r="G495" t="s">
        <v>139</v>
      </c>
      <c r="H495" t="s">
        <v>139</v>
      </c>
    </row>
    <row r="496" spans="1:9" hidden="1" x14ac:dyDescent="0.25">
      <c r="A496">
        <v>0</v>
      </c>
      <c r="B496" t="s">
        <v>12</v>
      </c>
      <c r="C496" t="s">
        <v>139</v>
      </c>
      <c r="D496" t="s">
        <v>139</v>
      </c>
      <c r="E496" t="s">
        <v>139</v>
      </c>
      <c r="F496" t="s">
        <v>139</v>
      </c>
      <c r="G496" t="s">
        <v>139</v>
      </c>
      <c r="H496" t="s">
        <v>139</v>
      </c>
    </row>
    <row r="497" spans="1:9" hidden="1" x14ac:dyDescent="0.25">
      <c r="A497">
        <v>0</v>
      </c>
      <c r="B497" t="s">
        <v>4</v>
      </c>
      <c r="C497" t="s">
        <v>139</v>
      </c>
      <c r="D497" t="s">
        <v>139</v>
      </c>
      <c r="E497" t="s">
        <v>139</v>
      </c>
      <c r="F497" t="s">
        <v>139</v>
      </c>
      <c r="G497" t="s">
        <v>139</v>
      </c>
      <c r="H497" t="s">
        <v>762</v>
      </c>
      <c r="I497" t="str">
        <f>_xlfn.XLOOKUP(H497,'SO-DIMM-i9'!A:A,'SO-DIMM-i9'!B:B,_xlfn.XLOOKUP(H497,'SO-DIMM-i9'!H:H,'SO-DIMM-i9'!G:G,""))</f>
        <v/>
      </c>
    </row>
    <row r="498" spans="1:9" hidden="1" x14ac:dyDescent="0.25">
      <c r="A498">
        <v>0</v>
      </c>
      <c r="B498" t="s">
        <v>4</v>
      </c>
      <c r="C498" t="s">
        <v>139</v>
      </c>
      <c r="D498" t="s">
        <v>139</v>
      </c>
      <c r="E498" t="s">
        <v>139</v>
      </c>
      <c r="F498" t="s">
        <v>139</v>
      </c>
      <c r="G498" t="s">
        <v>139</v>
      </c>
      <c r="H498" t="s">
        <v>763</v>
      </c>
      <c r="I498" t="str">
        <f>_xlfn.XLOOKUP(H498,'SO-DIMM-i9'!A:A,'SO-DIMM-i9'!B:B,_xlfn.XLOOKUP(H498,'SO-DIMM-i9'!H:H,'SO-DIMM-i9'!G:G,""))</f>
        <v/>
      </c>
    </row>
    <row r="499" spans="1:9" hidden="1" x14ac:dyDescent="0.25">
      <c r="A499">
        <v>0</v>
      </c>
      <c r="B499" t="s">
        <v>4</v>
      </c>
      <c r="C499" t="s">
        <v>139</v>
      </c>
      <c r="D499" t="s">
        <v>139</v>
      </c>
      <c r="E499" t="s">
        <v>139</v>
      </c>
      <c r="F499" t="s">
        <v>139</v>
      </c>
      <c r="G499" t="s">
        <v>139</v>
      </c>
      <c r="H499" t="s">
        <v>764</v>
      </c>
      <c r="I499" t="str">
        <f>_xlfn.XLOOKUP(H499,'SO-DIMM-i9'!A:A,'SO-DIMM-i9'!B:B,_xlfn.XLOOKUP(H499,'SO-DIMM-i9'!H:H,'SO-DIMM-i9'!G:G,""))</f>
        <v/>
      </c>
    </row>
    <row r="500" spans="1:9" hidden="1" x14ac:dyDescent="0.25">
      <c r="A500">
        <v>0</v>
      </c>
      <c r="B500" t="s">
        <v>4</v>
      </c>
      <c r="C500" t="s">
        <v>139</v>
      </c>
      <c r="D500" t="s">
        <v>139</v>
      </c>
      <c r="E500" t="s">
        <v>139</v>
      </c>
      <c r="F500" t="s">
        <v>139</v>
      </c>
      <c r="G500" t="s">
        <v>139</v>
      </c>
      <c r="H500" t="s">
        <v>765</v>
      </c>
      <c r="I500" t="str">
        <f>_xlfn.XLOOKUP(H500,'SO-DIMM-i9'!A:A,'SO-DIMM-i9'!B:B,_xlfn.XLOOKUP(H500,'SO-DIMM-i9'!H:H,'SO-DIMM-i9'!G:G,""))</f>
        <v/>
      </c>
    </row>
    <row r="501" spans="1:9" hidden="1" x14ac:dyDescent="0.25">
      <c r="A501">
        <v>0</v>
      </c>
      <c r="B501" t="s">
        <v>4</v>
      </c>
      <c r="C501" t="s">
        <v>139</v>
      </c>
      <c r="D501" t="s">
        <v>139</v>
      </c>
      <c r="E501" t="s">
        <v>139</v>
      </c>
      <c r="F501" t="s">
        <v>139</v>
      </c>
      <c r="G501" t="s">
        <v>139</v>
      </c>
      <c r="H501" t="s">
        <v>766</v>
      </c>
      <c r="I501" t="str">
        <f>_xlfn.XLOOKUP(H501,'SO-DIMM-i9'!A:A,'SO-DIMM-i9'!B:B,_xlfn.XLOOKUP(H501,'SO-DIMM-i9'!H:H,'SO-DIMM-i9'!G:G,""))</f>
        <v/>
      </c>
    </row>
    <row r="502" spans="1:9" hidden="1" x14ac:dyDescent="0.25">
      <c r="A502">
        <v>0</v>
      </c>
      <c r="B502" t="s">
        <v>4</v>
      </c>
      <c r="C502" t="s">
        <v>139</v>
      </c>
      <c r="D502" t="s">
        <v>139</v>
      </c>
      <c r="E502" t="s">
        <v>139</v>
      </c>
      <c r="F502" t="s">
        <v>139</v>
      </c>
      <c r="G502" t="s">
        <v>139</v>
      </c>
      <c r="H502" t="s">
        <v>767</v>
      </c>
      <c r="I502" t="str">
        <f>_xlfn.XLOOKUP(H502,'SO-DIMM-i9'!A:A,'SO-DIMM-i9'!B:B,_xlfn.XLOOKUP(H502,'SO-DIMM-i9'!H:H,'SO-DIMM-i9'!G:G,""))</f>
        <v/>
      </c>
    </row>
    <row r="503" spans="1:9" hidden="1" x14ac:dyDescent="0.25">
      <c r="A503">
        <v>0</v>
      </c>
      <c r="B503" t="s">
        <v>4</v>
      </c>
      <c r="C503" t="s">
        <v>139</v>
      </c>
      <c r="D503" t="s">
        <v>139</v>
      </c>
      <c r="E503" t="s">
        <v>139</v>
      </c>
      <c r="F503" t="s">
        <v>139</v>
      </c>
      <c r="G503" t="s">
        <v>139</v>
      </c>
      <c r="H503" t="s">
        <v>768</v>
      </c>
      <c r="I503" t="str">
        <f>_xlfn.XLOOKUP(H503,'SO-DIMM-i9'!A:A,'SO-DIMM-i9'!B:B,_xlfn.XLOOKUP(H503,'SO-DIMM-i9'!H:H,'SO-DIMM-i9'!G:G,""))</f>
        <v/>
      </c>
    </row>
    <row r="504" spans="1:9" hidden="1" x14ac:dyDescent="0.25">
      <c r="A504">
        <v>0</v>
      </c>
      <c r="B504" t="s">
        <v>4</v>
      </c>
      <c r="C504" t="s">
        <v>139</v>
      </c>
      <c r="D504" t="s">
        <v>139</v>
      </c>
      <c r="E504" t="s">
        <v>139</v>
      </c>
      <c r="F504" t="s">
        <v>139</v>
      </c>
      <c r="G504" t="s">
        <v>139</v>
      </c>
      <c r="H504" t="s">
        <v>769</v>
      </c>
      <c r="I504" t="str">
        <f>_xlfn.XLOOKUP(H504,'SO-DIMM-i9'!A:A,'SO-DIMM-i9'!B:B,_xlfn.XLOOKUP(H504,'SO-DIMM-i9'!H:H,'SO-DIMM-i9'!G:G,""))</f>
        <v/>
      </c>
    </row>
    <row r="505" spans="1:9" hidden="1" x14ac:dyDescent="0.25">
      <c r="A505">
        <v>0</v>
      </c>
      <c r="B505" t="s">
        <v>4</v>
      </c>
      <c r="C505" t="s">
        <v>139</v>
      </c>
      <c r="D505" t="s">
        <v>139</v>
      </c>
      <c r="E505" t="s">
        <v>139</v>
      </c>
      <c r="F505" t="s">
        <v>139</v>
      </c>
      <c r="G505" t="s">
        <v>139</v>
      </c>
      <c r="H505" t="s">
        <v>770</v>
      </c>
      <c r="I505" t="str">
        <f>_xlfn.XLOOKUP(H505,'SO-DIMM-i9'!A:A,'SO-DIMM-i9'!B:B,_xlfn.XLOOKUP(H505,'SO-DIMM-i9'!H:H,'SO-DIMM-i9'!G:G,""))</f>
        <v/>
      </c>
    </row>
    <row r="506" spans="1:9" hidden="1" x14ac:dyDescent="0.25">
      <c r="A506">
        <v>0</v>
      </c>
      <c r="B506" t="s">
        <v>4</v>
      </c>
      <c r="C506" t="s">
        <v>139</v>
      </c>
      <c r="D506" t="s">
        <v>139</v>
      </c>
      <c r="E506" t="s">
        <v>139</v>
      </c>
      <c r="F506" t="s">
        <v>139</v>
      </c>
      <c r="G506" t="s">
        <v>139</v>
      </c>
      <c r="H506" t="s">
        <v>771</v>
      </c>
      <c r="I506" t="str">
        <f>_xlfn.XLOOKUP(H506,'SO-DIMM-i9'!A:A,'SO-DIMM-i9'!B:B,_xlfn.XLOOKUP(H506,'SO-DIMM-i9'!H:H,'SO-DIMM-i9'!G:G,""))</f>
        <v/>
      </c>
    </row>
    <row r="507" spans="1:9" hidden="1" x14ac:dyDescent="0.25">
      <c r="A507">
        <v>0</v>
      </c>
      <c r="B507" t="s">
        <v>4</v>
      </c>
      <c r="C507" t="s">
        <v>139</v>
      </c>
      <c r="D507" t="s">
        <v>139</v>
      </c>
      <c r="E507" t="s">
        <v>139</v>
      </c>
      <c r="F507" t="s">
        <v>139</v>
      </c>
      <c r="G507" t="s">
        <v>139</v>
      </c>
      <c r="H507" t="s">
        <v>772</v>
      </c>
      <c r="I507" t="str">
        <f>_xlfn.XLOOKUP(H507,'SO-DIMM-i9'!A:A,'SO-DIMM-i9'!B:B,_xlfn.XLOOKUP(H507,'SO-DIMM-i9'!H:H,'SO-DIMM-i9'!G:G,""))</f>
        <v/>
      </c>
    </row>
    <row r="508" spans="1:9" hidden="1" x14ac:dyDescent="0.25">
      <c r="A508">
        <v>0</v>
      </c>
      <c r="B508" t="s">
        <v>4</v>
      </c>
      <c r="C508" t="s">
        <v>139</v>
      </c>
      <c r="D508" t="s">
        <v>139</v>
      </c>
      <c r="E508" t="s">
        <v>139</v>
      </c>
      <c r="F508" t="s">
        <v>139</v>
      </c>
      <c r="G508" t="s">
        <v>139</v>
      </c>
      <c r="H508" t="s">
        <v>773</v>
      </c>
      <c r="I508" t="str">
        <f>_xlfn.XLOOKUP(H508,'SO-DIMM-i9'!A:A,'SO-DIMM-i9'!B:B,_xlfn.XLOOKUP(H508,'SO-DIMM-i9'!H:H,'SO-DIMM-i9'!G:G,""))</f>
        <v/>
      </c>
    </row>
    <row r="509" spans="1:9" hidden="1" x14ac:dyDescent="0.25">
      <c r="A509">
        <v>0</v>
      </c>
      <c r="B509" t="s">
        <v>4</v>
      </c>
      <c r="C509" t="s">
        <v>139</v>
      </c>
      <c r="D509" t="s">
        <v>139</v>
      </c>
      <c r="E509" t="s">
        <v>139</v>
      </c>
      <c r="F509" t="s">
        <v>139</v>
      </c>
      <c r="G509" t="s">
        <v>139</v>
      </c>
      <c r="H509" t="s">
        <v>774</v>
      </c>
      <c r="I509" t="str">
        <f>_xlfn.XLOOKUP(H509,'SO-DIMM-i9'!A:A,'SO-DIMM-i9'!B:B,_xlfn.XLOOKUP(H509,'SO-DIMM-i9'!H:H,'SO-DIMM-i9'!G:G,""))</f>
        <v/>
      </c>
    </row>
    <row r="510" spans="1:9" hidden="1" x14ac:dyDescent="0.25">
      <c r="A510">
        <v>0</v>
      </c>
      <c r="B510" t="s">
        <v>4</v>
      </c>
      <c r="C510" t="s">
        <v>139</v>
      </c>
      <c r="D510" t="s">
        <v>139</v>
      </c>
      <c r="E510" t="s">
        <v>139</v>
      </c>
      <c r="F510" t="s">
        <v>139</v>
      </c>
      <c r="G510" t="s">
        <v>139</v>
      </c>
      <c r="H510" t="s">
        <v>775</v>
      </c>
      <c r="I510" t="str">
        <f>_xlfn.XLOOKUP(H510,'SO-DIMM-i9'!A:A,'SO-DIMM-i9'!B:B,_xlfn.XLOOKUP(H510,'SO-DIMM-i9'!H:H,'SO-DIMM-i9'!G:G,""))</f>
        <v/>
      </c>
    </row>
    <row r="511" spans="1:9" hidden="1" x14ac:dyDescent="0.25">
      <c r="A511">
        <v>0</v>
      </c>
      <c r="B511" t="s">
        <v>4</v>
      </c>
      <c r="C511" t="s">
        <v>139</v>
      </c>
      <c r="D511" t="s">
        <v>139</v>
      </c>
      <c r="E511" t="s">
        <v>139</v>
      </c>
      <c r="F511" t="s">
        <v>139</v>
      </c>
      <c r="G511" t="s">
        <v>139</v>
      </c>
      <c r="H511" t="s">
        <v>776</v>
      </c>
      <c r="I511" t="str">
        <f>_xlfn.XLOOKUP(H511,'SO-DIMM-i9'!A:A,'SO-DIMM-i9'!B:B,_xlfn.XLOOKUP(H511,'SO-DIMM-i9'!H:H,'SO-DIMM-i9'!G:G,""))</f>
        <v/>
      </c>
    </row>
    <row r="512" spans="1:9" hidden="1" x14ac:dyDescent="0.25">
      <c r="A512">
        <v>0</v>
      </c>
      <c r="B512" t="s">
        <v>4</v>
      </c>
      <c r="C512" t="s">
        <v>139</v>
      </c>
      <c r="D512" t="s">
        <v>139</v>
      </c>
      <c r="E512" t="s">
        <v>139</v>
      </c>
      <c r="F512" t="s">
        <v>139</v>
      </c>
      <c r="G512" t="s">
        <v>139</v>
      </c>
      <c r="H512" t="s">
        <v>777</v>
      </c>
      <c r="I512" t="str">
        <f>_xlfn.XLOOKUP(H512,'SO-DIMM-i9'!A:A,'SO-DIMM-i9'!B:B,_xlfn.XLOOKUP(H512,'SO-DIMM-i9'!H:H,'SO-DIMM-i9'!G:G,""))</f>
        <v/>
      </c>
    </row>
    <row r="513" spans="1:9" hidden="1" x14ac:dyDescent="0.25">
      <c r="A513">
        <v>0</v>
      </c>
      <c r="B513" t="s">
        <v>4</v>
      </c>
      <c r="C513" t="s">
        <v>139</v>
      </c>
      <c r="D513" t="s">
        <v>139</v>
      </c>
      <c r="E513" t="s">
        <v>139</v>
      </c>
      <c r="F513" t="s">
        <v>139</v>
      </c>
      <c r="G513" t="s">
        <v>139</v>
      </c>
      <c r="H513" t="s">
        <v>778</v>
      </c>
      <c r="I513" t="str">
        <f>_xlfn.XLOOKUP(H513,'SO-DIMM-i9'!A:A,'SO-DIMM-i9'!B:B,_xlfn.XLOOKUP(H513,'SO-DIMM-i9'!H:H,'SO-DIMM-i9'!G:G,""))</f>
        <v/>
      </c>
    </row>
    <row r="514" spans="1:9" hidden="1" x14ac:dyDescent="0.25">
      <c r="A514">
        <v>0</v>
      </c>
      <c r="B514" t="s">
        <v>4</v>
      </c>
      <c r="C514" t="s">
        <v>139</v>
      </c>
      <c r="D514" t="s">
        <v>139</v>
      </c>
      <c r="E514" t="s">
        <v>139</v>
      </c>
      <c r="F514" t="s">
        <v>139</v>
      </c>
      <c r="G514" t="s">
        <v>139</v>
      </c>
      <c r="H514" t="s">
        <v>779</v>
      </c>
      <c r="I514" t="str">
        <f>_xlfn.XLOOKUP(H514,'SO-DIMM-i9'!A:A,'SO-DIMM-i9'!B:B,_xlfn.XLOOKUP(H514,'SO-DIMM-i9'!H:H,'SO-DIMM-i9'!G:G,""))</f>
        <v/>
      </c>
    </row>
    <row r="515" spans="1:9" hidden="1" x14ac:dyDescent="0.25">
      <c r="A515">
        <v>0</v>
      </c>
      <c r="B515" t="s">
        <v>4</v>
      </c>
      <c r="C515" t="s">
        <v>139</v>
      </c>
      <c r="D515" t="s">
        <v>139</v>
      </c>
      <c r="E515" t="s">
        <v>139</v>
      </c>
      <c r="F515" t="s">
        <v>139</v>
      </c>
      <c r="G515" t="s">
        <v>139</v>
      </c>
      <c r="H515" t="s">
        <v>780</v>
      </c>
      <c r="I515" t="str">
        <f>_xlfn.XLOOKUP(H515,'SO-DIMM-i9'!A:A,'SO-DIMM-i9'!B:B,_xlfn.XLOOKUP(H515,'SO-DIMM-i9'!H:H,'SO-DIMM-i9'!G:G,""))</f>
        <v/>
      </c>
    </row>
    <row r="516" spans="1:9" hidden="1" x14ac:dyDescent="0.25">
      <c r="A516">
        <v>0</v>
      </c>
      <c r="B516" t="s">
        <v>4</v>
      </c>
      <c r="C516" t="s">
        <v>139</v>
      </c>
      <c r="D516" t="s">
        <v>139</v>
      </c>
      <c r="E516" t="s">
        <v>139</v>
      </c>
      <c r="F516" t="s">
        <v>139</v>
      </c>
      <c r="G516" t="s">
        <v>139</v>
      </c>
      <c r="H516" t="s">
        <v>781</v>
      </c>
      <c r="I516" t="str">
        <f>_xlfn.XLOOKUP(H516,'SO-DIMM-i9'!A:A,'SO-DIMM-i9'!B:B,_xlfn.XLOOKUP(H516,'SO-DIMM-i9'!H:H,'SO-DIMM-i9'!G:G,""))</f>
        <v/>
      </c>
    </row>
    <row r="517" spans="1:9" hidden="1" x14ac:dyDescent="0.25">
      <c r="A517">
        <v>0</v>
      </c>
      <c r="B517" t="s">
        <v>4</v>
      </c>
      <c r="C517" t="s">
        <v>139</v>
      </c>
      <c r="D517" t="s">
        <v>139</v>
      </c>
      <c r="E517" t="s">
        <v>139</v>
      </c>
      <c r="F517" t="s">
        <v>139</v>
      </c>
      <c r="G517" t="s">
        <v>139</v>
      </c>
      <c r="H517" t="s">
        <v>782</v>
      </c>
      <c r="I517" t="str">
        <f>_xlfn.XLOOKUP(H517,'SO-DIMM-i9'!A:A,'SO-DIMM-i9'!B:B,_xlfn.XLOOKUP(H517,'SO-DIMM-i9'!H:H,'SO-DIMM-i9'!G:G,""))</f>
        <v/>
      </c>
    </row>
    <row r="518" spans="1:9" hidden="1" x14ac:dyDescent="0.25">
      <c r="A518">
        <v>0</v>
      </c>
      <c r="B518" t="s">
        <v>4</v>
      </c>
      <c r="C518" t="s">
        <v>139</v>
      </c>
      <c r="D518" t="s">
        <v>139</v>
      </c>
      <c r="E518" t="s">
        <v>139</v>
      </c>
      <c r="F518" t="s">
        <v>139</v>
      </c>
      <c r="G518" t="s">
        <v>139</v>
      </c>
      <c r="H518" t="s">
        <v>783</v>
      </c>
      <c r="I518" t="str">
        <f>_xlfn.XLOOKUP(H518,'SO-DIMM-i9'!A:A,'SO-DIMM-i9'!B:B,_xlfn.XLOOKUP(H518,'SO-DIMM-i9'!H:H,'SO-DIMM-i9'!G:G,""))</f>
        <v/>
      </c>
    </row>
    <row r="519" spans="1:9" hidden="1" x14ac:dyDescent="0.25">
      <c r="A519">
        <v>0</v>
      </c>
      <c r="B519" t="s">
        <v>4</v>
      </c>
      <c r="C519" t="s">
        <v>139</v>
      </c>
      <c r="D519" t="s">
        <v>139</v>
      </c>
      <c r="E519" t="s">
        <v>139</v>
      </c>
      <c r="F519" t="s">
        <v>139</v>
      </c>
      <c r="G519" t="s">
        <v>139</v>
      </c>
      <c r="H519" t="s">
        <v>784</v>
      </c>
      <c r="I519" t="str">
        <f>_xlfn.XLOOKUP(H519,'SO-DIMM-i9'!A:A,'SO-DIMM-i9'!B:B,_xlfn.XLOOKUP(H519,'SO-DIMM-i9'!H:H,'SO-DIMM-i9'!G:G,""))</f>
        <v/>
      </c>
    </row>
    <row r="520" spans="1:9" hidden="1" x14ac:dyDescent="0.25">
      <c r="A520">
        <v>0</v>
      </c>
      <c r="B520" t="s">
        <v>4</v>
      </c>
      <c r="C520" t="s">
        <v>139</v>
      </c>
      <c r="D520" t="s">
        <v>139</v>
      </c>
      <c r="E520" t="s">
        <v>139</v>
      </c>
      <c r="F520" t="s">
        <v>139</v>
      </c>
      <c r="G520" t="s">
        <v>139</v>
      </c>
      <c r="H520" t="s">
        <v>785</v>
      </c>
      <c r="I520" t="str">
        <f>_xlfn.XLOOKUP(H520,'SO-DIMM-i9'!A:A,'SO-DIMM-i9'!B:B,_xlfn.XLOOKUP(H520,'SO-DIMM-i9'!H:H,'SO-DIMM-i9'!G:G,""))</f>
        <v/>
      </c>
    </row>
    <row r="521" spans="1:9" hidden="1" x14ac:dyDescent="0.25">
      <c r="A521">
        <v>0</v>
      </c>
      <c r="B521" t="s">
        <v>4</v>
      </c>
      <c r="C521" t="s">
        <v>139</v>
      </c>
      <c r="D521" t="s">
        <v>139</v>
      </c>
      <c r="E521" t="s">
        <v>139</v>
      </c>
      <c r="F521" t="s">
        <v>139</v>
      </c>
      <c r="G521" t="s">
        <v>139</v>
      </c>
      <c r="H521" t="s">
        <v>786</v>
      </c>
      <c r="I521" t="str">
        <f>_xlfn.XLOOKUP(H521,'SO-DIMM-i9'!A:A,'SO-DIMM-i9'!B:B,_xlfn.XLOOKUP(H521,'SO-DIMM-i9'!H:H,'SO-DIMM-i9'!G:G,""))</f>
        <v/>
      </c>
    </row>
    <row r="522" spans="1:9" hidden="1" x14ac:dyDescent="0.25">
      <c r="A522">
        <v>0</v>
      </c>
      <c r="B522" t="s">
        <v>4</v>
      </c>
      <c r="C522" t="s">
        <v>139</v>
      </c>
      <c r="D522" t="s">
        <v>139</v>
      </c>
      <c r="E522" t="s">
        <v>139</v>
      </c>
      <c r="F522" t="s">
        <v>139</v>
      </c>
      <c r="G522" t="s">
        <v>139</v>
      </c>
      <c r="H522" t="s">
        <v>787</v>
      </c>
      <c r="I522" t="str">
        <f>_xlfn.XLOOKUP(H522,'SO-DIMM-i9'!A:A,'SO-DIMM-i9'!B:B,_xlfn.XLOOKUP(H522,'SO-DIMM-i9'!H:H,'SO-DIMM-i9'!G:G,""))</f>
        <v/>
      </c>
    </row>
    <row r="523" spans="1:9" hidden="1" x14ac:dyDescent="0.25">
      <c r="A523">
        <v>0</v>
      </c>
      <c r="B523" t="s">
        <v>4</v>
      </c>
      <c r="C523" t="s">
        <v>139</v>
      </c>
      <c r="D523" t="s">
        <v>139</v>
      </c>
      <c r="E523" t="s">
        <v>139</v>
      </c>
      <c r="F523" t="s">
        <v>139</v>
      </c>
      <c r="G523" t="s">
        <v>139</v>
      </c>
      <c r="H523" t="s">
        <v>788</v>
      </c>
      <c r="I523" t="str">
        <f>_xlfn.XLOOKUP(H523,'SO-DIMM-i9'!A:A,'SO-DIMM-i9'!B:B,_xlfn.XLOOKUP(H523,'SO-DIMM-i9'!H:H,'SO-DIMM-i9'!G:G,""))</f>
        <v/>
      </c>
    </row>
    <row r="524" spans="1:9" hidden="1" x14ac:dyDescent="0.25">
      <c r="A524">
        <v>0</v>
      </c>
      <c r="B524" t="s">
        <v>4</v>
      </c>
      <c r="C524" t="s">
        <v>139</v>
      </c>
      <c r="D524" t="s">
        <v>139</v>
      </c>
      <c r="E524" t="s">
        <v>139</v>
      </c>
      <c r="F524" t="s">
        <v>139</v>
      </c>
      <c r="G524" t="s">
        <v>139</v>
      </c>
      <c r="H524" t="s">
        <v>789</v>
      </c>
      <c r="I524" t="str">
        <f>_xlfn.XLOOKUP(H524,'SO-DIMM-i9'!A:A,'SO-DIMM-i9'!B:B,_xlfn.XLOOKUP(H524,'SO-DIMM-i9'!H:H,'SO-DIMM-i9'!G:G,""))</f>
        <v/>
      </c>
    </row>
    <row r="525" spans="1:9" hidden="1" x14ac:dyDescent="0.25">
      <c r="A525">
        <v>0</v>
      </c>
      <c r="B525" t="s">
        <v>4</v>
      </c>
      <c r="C525" t="s">
        <v>139</v>
      </c>
      <c r="D525" t="s">
        <v>139</v>
      </c>
      <c r="E525" t="s">
        <v>139</v>
      </c>
      <c r="F525" t="s">
        <v>139</v>
      </c>
      <c r="G525" t="s">
        <v>139</v>
      </c>
      <c r="H525" t="s">
        <v>790</v>
      </c>
      <c r="I525" t="str">
        <f>_xlfn.XLOOKUP(H525,'SO-DIMM-i9'!A:A,'SO-DIMM-i9'!B:B,_xlfn.XLOOKUP(H525,'SO-DIMM-i9'!H:H,'SO-DIMM-i9'!G:G,""))</f>
        <v/>
      </c>
    </row>
    <row r="526" spans="1:9" hidden="1" x14ac:dyDescent="0.25">
      <c r="A526">
        <v>0</v>
      </c>
      <c r="B526" t="s">
        <v>4</v>
      </c>
      <c r="C526" t="s">
        <v>139</v>
      </c>
      <c r="D526" t="s">
        <v>139</v>
      </c>
      <c r="E526" t="s">
        <v>139</v>
      </c>
      <c r="F526" t="s">
        <v>139</v>
      </c>
      <c r="G526" t="s">
        <v>139</v>
      </c>
      <c r="H526" t="s">
        <v>791</v>
      </c>
      <c r="I526" t="str">
        <f>_xlfn.XLOOKUP(H526,'SO-DIMM-i9'!A:A,'SO-DIMM-i9'!B:B,_xlfn.XLOOKUP(H526,'SO-DIMM-i9'!H:H,'SO-DIMM-i9'!G:G,""))</f>
        <v/>
      </c>
    </row>
    <row r="527" spans="1:9" hidden="1" x14ac:dyDescent="0.25">
      <c r="A527">
        <v>0</v>
      </c>
      <c r="B527" t="s">
        <v>4</v>
      </c>
      <c r="C527" t="s">
        <v>139</v>
      </c>
      <c r="D527" t="s">
        <v>139</v>
      </c>
      <c r="E527" t="s">
        <v>139</v>
      </c>
      <c r="F527" t="s">
        <v>139</v>
      </c>
      <c r="G527" t="s">
        <v>139</v>
      </c>
      <c r="H527" t="s">
        <v>792</v>
      </c>
      <c r="I527" t="str">
        <f>_xlfn.XLOOKUP(H527,'SO-DIMM-i9'!A:A,'SO-DIMM-i9'!B:B,_xlfn.XLOOKUP(H527,'SO-DIMM-i9'!H:H,'SO-DIMM-i9'!G:G,""))</f>
        <v/>
      </c>
    </row>
    <row r="528" spans="1:9" hidden="1" x14ac:dyDescent="0.25">
      <c r="A528">
        <v>0</v>
      </c>
      <c r="B528" t="s">
        <v>4</v>
      </c>
      <c r="C528" t="s">
        <v>139</v>
      </c>
      <c r="D528" t="s">
        <v>139</v>
      </c>
      <c r="E528" t="s">
        <v>139</v>
      </c>
      <c r="F528" t="s">
        <v>139</v>
      </c>
      <c r="G528" t="s">
        <v>139</v>
      </c>
      <c r="H528" t="s">
        <v>793</v>
      </c>
      <c r="I528" t="str">
        <f>_xlfn.XLOOKUP(H528,'SO-DIMM-i9'!A:A,'SO-DIMM-i9'!B:B,_xlfn.XLOOKUP(H528,'SO-DIMM-i9'!H:H,'SO-DIMM-i9'!G:G,""))</f>
        <v/>
      </c>
    </row>
    <row r="529" spans="1:9" hidden="1" x14ac:dyDescent="0.25">
      <c r="A529">
        <v>0</v>
      </c>
      <c r="B529" t="s">
        <v>4</v>
      </c>
      <c r="C529" t="s">
        <v>139</v>
      </c>
      <c r="D529" t="s">
        <v>139</v>
      </c>
      <c r="E529" t="s">
        <v>139</v>
      </c>
      <c r="F529" t="s">
        <v>139</v>
      </c>
      <c r="G529" t="s">
        <v>139</v>
      </c>
      <c r="H529" t="s">
        <v>794</v>
      </c>
      <c r="I529" t="str">
        <f>_xlfn.XLOOKUP(H529,'SO-DIMM-i9'!A:A,'SO-DIMM-i9'!B:B,_xlfn.XLOOKUP(H529,'SO-DIMM-i9'!H:H,'SO-DIMM-i9'!G:G,""))</f>
        <v/>
      </c>
    </row>
    <row r="530" spans="1:9" hidden="1" x14ac:dyDescent="0.25">
      <c r="A530">
        <v>0</v>
      </c>
      <c r="B530" t="s">
        <v>4</v>
      </c>
      <c r="C530" t="s">
        <v>139</v>
      </c>
      <c r="D530" t="s">
        <v>139</v>
      </c>
      <c r="E530" t="s">
        <v>139</v>
      </c>
      <c r="F530" t="s">
        <v>139</v>
      </c>
      <c r="G530" t="s">
        <v>139</v>
      </c>
      <c r="H530" t="s">
        <v>795</v>
      </c>
      <c r="I530" t="str">
        <f>_xlfn.XLOOKUP(H530,'SO-DIMM-i9'!A:A,'SO-DIMM-i9'!B:B,_xlfn.XLOOKUP(H530,'SO-DIMM-i9'!H:H,'SO-DIMM-i9'!G:G,""))</f>
        <v/>
      </c>
    </row>
    <row r="531" spans="1:9" hidden="1" x14ac:dyDescent="0.25">
      <c r="A531">
        <v>0</v>
      </c>
      <c r="B531" t="s">
        <v>4</v>
      </c>
      <c r="C531" t="s">
        <v>139</v>
      </c>
      <c r="D531" t="s">
        <v>139</v>
      </c>
      <c r="E531" t="s">
        <v>139</v>
      </c>
      <c r="F531" t="s">
        <v>139</v>
      </c>
      <c r="G531" t="s">
        <v>139</v>
      </c>
      <c r="H531" t="s">
        <v>796</v>
      </c>
      <c r="I531" t="str">
        <f>_xlfn.XLOOKUP(H531,'SO-DIMM-i9'!A:A,'SO-DIMM-i9'!B:B,_xlfn.XLOOKUP(H531,'SO-DIMM-i9'!H:H,'SO-DIMM-i9'!G:G,""))</f>
        <v/>
      </c>
    </row>
    <row r="532" spans="1:9" hidden="1" x14ac:dyDescent="0.25">
      <c r="A532">
        <v>0</v>
      </c>
      <c r="B532" t="s">
        <v>4</v>
      </c>
      <c r="C532" t="s">
        <v>139</v>
      </c>
      <c r="D532" t="s">
        <v>139</v>
      </c>
      <c r="E532" t="s">
        <v>139</v>
      </c>
      <c r="F532" t="s">
        <v>139</v>
      </c>
      <c r="G532" t="s">
        <v>139</v>
      </c>
      <c r="H532" t="s">
        <v>797</v>
      </c>
      <c r="I532" t="str">
        <f>_xlfn.XLOOKUP(H532,'SO-DIMM-i9'!A:A,'SO-DIMM-i9'!B:B,_xlfn.XLOOKUP(H532,'SO-DIMM-i9'!H:H,'SO-DIMM-i9'!G:G,""))</f>
        <v/>
      </c>
    </row>
    <row r="533" spans="1:9" hidden="1" x14ac:dyDescent="0.25">
      <c r="A533">
        <v>0</v>
      </c>
      <c r="B533" t="s">
        <v>4</v>
      </c>
      <c r="C533" t="s">
        <v>139</v>
      </c>
      <c r="D533" t="s">
        <v>139</v>
      </c>
      <c r="E533" t="s">
        <v>139</v>
      </c>
      <c r="F533" t="s">
        <v>139</v>
      </c>
      <c r="G533" t="s">
        <v>139</v>
      </c>
      <c r="H533" t="s">
        <v>798</v>
      </c>
      <c r="I533" t="str">
        <f>_xlfn.XLOOKUP(H533,'SO-DIMM-i9'!A:A,'SO-DIMM-i9'!B:B,_xlfn.XLOOKUP(H533,'SO-DIMM-i9'!H:H,'SO-DIMM-i9'!G:G,""))</f>
        <v/>
      </c>
    </row>
    <row r="534" spans="1:9" hidden="1" x14ac:dyDescent="0.25">
      <c r="A534">
        <v>0</v>
      </c>
      <c r="B534" t="s">
        <v>4</v>
      </c>
      <c r="C534" t="s">
        <v>139</v>
      </c>
      <c r="D534" t="s">
        <v>139</v>
      </c>
      <c r="E534" t="s">
        <v>139</v>
      </c>
      <c r="F534" t="s">
        <v>139</v>
      </c>
      <c r="G534" t="s">
        <v>139</v>
      </c>
      <c r="H534" t="s">
        <v>799</v>
      </c>
      <c r="I534" t="str">
        <f>_xlfn.XLOOKUP(H534,'SO-DIMM-i9'!A:A,'SO-DIMM-i9'!B:B,_xlfn.XLOOKUP(H534,'SO-DIMM-i9'!H:H,'SO-DIMM-i9'!G:G,""))</f>
        <v/>
      </c>
    </row>
    <row r="535" spans="1:9" hidden="1" x14ac:dyDescent="0.25">
      <c r="A535">
        <v>0</v>
      </c>
      <c r="B535" t="s">
        <v>4</v>
      </c>
      <c r="C535" t="s">
        <v>139</v>
      </c>
      <c r="D535" t="s">
        <v>139</v>
      </c>
      <c r="E535" t="s">
        <v>139</v>
      </c>
      <c r="F535" t="s">
        <v>139</v>
      </c>
      <c r="G535" t="s">
        <v>139</v>
      </c>
      <c r="H535" t="s">
        <v>800</v>
      </c>
      <c r="I535" t="str">
        <f>_xlfn.XLOOKUP(H535,'SO-DIMM-i9'!A:A,'SO-DIMM-i9'!B:B,_xlfn.XLOOKUP(H535,'SO-DIMM-i9'!H:H,'SO-DIMM-i9'!G:G,""))</f>
        <v/>
      </c>
    </row>
    <row r="536" spans="1:9" hidden="1" x14ac:dyDescent="0.25">
      <c r="A536">
        <v>0</v>
      </c>
      <c r="B536" t="s">
        <v>4</v>
      </c>
      <c r="C536" t="s">
        <v>139</v>
      </c>
      <c r="D536" t="s">
        <v>139</v>
      </c>
      <c r="E536" t="s">
        <v>139</v>
      </c>
      <c r="F536" t="s">
        <v>139</v>
      </c>
      <c r="G536" t="s">
        <v>139</v>
      </c>
      <c r="H536" t="s">
        <v>801</v>
      </c>
      <c r="I536" t="str">
        <f>_xlfn.XLOOKUP(H536,'SO-DIMM-i9'!A:A,'SO-DIMM-i9'!B:B,_xlfn.XLOOKUP(H536,'SO-DIMM-i9'!H:H,'SO-DIMM-i9'!G:G,""))</f>
        <v/>
      </c>
    </row>
    <row r="537" spans="1:9" hidden="1" x14ac:dyDescent="0.25">
      <c r="A537">
        <v>0</v>
      </c>
      <c r="B537" t="s">
        <v>4</v>
      </c>
      <c r="C537" t="s">
        <v>139</v>
      </c>
      <c r="D537" t="s">
        <v>139</v>
      </c>
      <c r="E537" t="s">
        <v>139</v>
      </c>
      <c r="F537" t="s">
        <v>139</v>
      </c>
      <c r="G537" t="s">
        <v>139</v>
      </c>
      <c r="H537" t="s">
        <v>802</v>
      </c>
      <c r="I537" t="str">
        <f>_xlfn.XLOOKUP(H537,'SO-DIMM-i9'!A:A,'SO-DIMM-i9'!B:B,_xlfn.XLOOKUP(H537,'SO-DIMM-i9'!H:H,'SO-DIMM-i9'!G:G,""))</f>
        <v/>
      </c>
    </row>
    <row r="538" spans="1:9" hidden="1" x14ac:dyDescent="0.25">
      <c r="A538">
        <v>0</v>
      </c>
      <c r="B538" t="s">
        <v>4</v>
      </c>
      <c r="C538" t="s">
        <v>139</v>
      </c>
      <c r="D538" t="s">
        <v>139</v>
      </c>
      <c r="E538" t="s">
        <v>139</v>
      </c>
      <c r="F538" t="s">
        <v>139</v>
      </c>
      <c r="G538" t="s">
        <v>139</v>
      </c>
      <c r="H538" t="s">
        <v>803</v>
      </c>
      <c r="I538" t="str">
        <f>_xlfn.XLOOKUP(H538,'SO-DIMM-i9'!A:A,'SO-DIMM-i9'!B:B,_xlfn.XLOOKUP(H538,'SO-DIMM-i9'!H:H,'SO-DIMM-i9'!G:G,""))</f>
        <v/>
      </c>
    </row>
    <row r="539" spans="1:9" hidden="1" x14ac:dyDescent="0.25">
      <c r="A539">
        <v>0</v>
      </c>
      <c r="B539" t="s">
        <v>4</v>
      </c>
      <c r="C539" t="s">
        <v>139</v>
      </c>
      <c r="D539" t="s">
        <v>139</v>
      </c>
      <c r="E539" t="s">
        <v>139</v>
      </c>
      <c r="F539" t="s">
        <v>139</v>
      </c>
      <c r="G539" t="s">
        <v>139</v>
      </c>
      <c r="H539" t="s">
        <v>804</v>
      </c>
      <c r="I539" t="str">
        <f>_xlfn.XLOOKUP(H539,'SO-DIMM-i9'!A:A,'SO-DIMM-i9'!B:B,_xlfn.XLOOKUP(H539,'SO-DIMM-i9'!H:H,'SO-DIMM-i9'!G:G,""))</f>
        <v/>
      </c>
    </row>
    <row r="540" spans="1:9" hidden="1" x14ac:dyDescent="0.25">
      <c r="A540">
        <v>0</v>
      </c>
      <c r="B540" t="s">
        <v>4</v>
      </c>
      <c r="C540" t="s">
        <v>139</v>
      </c>
      <c r="D540" t="s">
        <v>139</v>
      </c>
      <c r="E540" t="s">
        <v>139</v>
      </c>
      <c r="F540" t="s">
        <v>139</v>
      </c>
      <c r="G540" t="s">
        <v>139</v>
      </c>
      <c r="H540" t="s">
        <v>805</v>
      </c>
      <c r="I540" t="str">
        <f>_xlfn.XLOOKUP(H540,'SO-DIMM-i9'!A:A,'SO-DIMM-i9'!B:B,_xlfn.XLOOKUP(H540,'SO-DIMM-i9'!H:H,'SO-DIMM-i9'!G:G,""))</f>
        <v/>
      </c>
    </row>
    <row r="541" spans="1:9" hidden="1" x14ac:dyDescent="0.25">
      <c r="A541">
        <v>0</v>
      </c>
      <c r="B541" t="s">
        <v>4</v>
      </c>
      <c r="C541" t="s">
        <v>139</v>
      </c>
      <c r="D541" t="s">
        <v>139</v>
      </c>
      <c r="E541" t="s">
        <v>139</v>
      </c>
      <c r="F541" t="s">
        <v>139</v>
      </c>
      <c r="G541" t="s">
        <v>139</v>
      </c>
      <c r="H541" t="s">
        <v>806</v>
      </c>
      <c r="I541" t="str">
        <f>_xlfn.XLOOKUP(H541,'SO-DIMM-i9'!A:A,'SO-DIMM-i9'!B:B,_xlfn.XLOOKUP(H541,'SO-DIMM-i9'!H:H,'SO-DIMM-i9'!G:G,""))</f>
        <v/>
      </c>
    </row>
    <row r="542" spans="1:9" hidden="1" x14ac:dyDescent="0.25">
      <c r="A542">
        <v>0</v>
      </c>
      <c r="B542" t="s">
        <v>4</v>
      </c>
      <c r="C542" t="s">
        <v>139</v>
      </c>
      <c r="D542" t="s">
        <v>139</v>
      </c>
      <c r="E542" t="s">
        <v>139</v>
      </c>
      <c r="F542" t="s">
        <v>139</v>
      </c>
      <c r="G542" t="s">
        <v>139</v>
      </c>
      <c r="H542" t="s">
        <v>807</v>
      </c>
      <c r="I542" t="str">
        <f>_xlfn.XLOOKUP(H542,'SO-DIMM-i9'!A:A,'SO-DIMM-i9'!B:B,_xlfn.XLOOKUP(H542,'SO-DIMM-i9'!H:H,'SO-DIMM-i9'!G:G,""))</f>
        <v/>
      </c>
    </row>
    <row r="543" spans="1:9" hidden="1" x14ac:dyDescent="0.25">
      <c r="A543">
        <v>0</v>
      </c>
      <c r="B543" t="s">
        <v>4</v>
      </c>
      <c r="C543" t="s">
        <v>139</v>
      </c>
      <c r="D543" t="s">
        <v>139</v>
      </c>
      <c r="E543" t="s">
        <v>139</v>
      </c>
      <c r="F543" t="s">
        <v>139</v>
      </c>
      <c r="G543" t="s">
        <v>139</v>
      </c>
      <c r="H543" t="s">
        <v>808</v>
      </c>
      <c r="I543" t="str">
        <f>_xlfn.XLOOKUP(H543,'SO-DIMM-i9'!A:A,'SO-DIMM-i9'!B:B,_xlfn.XLOOKUP(H543,'SO-DIMM-i9'!H:H,'SO-DIMM-i9'!G:G,""))</f>
        <v/>
      </c>
    </row>
    <row r="544" spans="1:9" hidden="1" x14ac:dyDescent="0.25">
      <c r="A544">
        <v>0</v>
      </c>
      <c r="B544" t="s">
        <v>4</v>
      </c>
      <c r="C544" t="s">
        <v>139</v>
      </c>
      <c r="D544" t="s">
        <v>139</v>
      </c>
      <c r="E544" t="s">
        <v>139</v>
      </c>
      <c r="F544" t="s">
        <v>139</v>
      </c>
      <c r="G544" t="s">
        <v>139</v>
      </c>
      <c r="H544" t="s">
        <v>809</v>
      </c>
      <c r="I544" t="str">
        <f>_xlfn.XLOOKUP(H544,'SO-DIMM-i9'!A:A,'SO-DIMM-i9'!B:B,_xlfn.XLOOKUP(H544,'SO-DIMM-i9'!H:H,'SO-DIMM-i9'!G:G,""))</f>
        <v/>
      </c>
    </row>
    <row r="545" spans="1:9" hidden="1" x14ac:dyDescent="0.25">
      <c r="A545">
        <v>0</v>
      </c>
      <c r="B545" t="s">
        <v>4</v>
      </c>
      <c r="C545" t="s">
        <v>139</v>
      </c>
      <c r="D545" t="s">
        <v>139</v>
      </c>
      <c r="E545" t="s">
        <v>139</v>
      </c>
      <c r="F545" t="s">
        <v>139</v>
      </c>
      <c r="G545" t="s">
        <v>139</v>
      </c>
      <c r="H545" t="s">
        <v>810</v>
      </c>
      <c r="I545" t="str">
        <f>_xlfn.XLOOKUP(H545,'SO-DIMM-i9'!A:A,'SO-DIMM-i9'!B:B,_xlfn.XLOOKUP(H545,'SO-DIMM-i9'!H:H,'SO-DIMM-i9'!G:G,""))</f>
        <v/>
      </c>
    </row>
    <row r="546" spans="1:9" hidden="1" x14ac:dyDescent="0.25">
      <c r="A546">
        <v>0</v>
      </c>
      <c r="B546" t="s">
        <v>4</v>
      </c>
      <c r="C546" t="s">
        <v>139</v>
      </c>
      <c r="D546" t="s">
        <v>139</v>
      </c>
      <c r="E546" t="s">
        <v>139</v>
      </c>
      <c r="F546" t="s">
        <v>139</v>
      </c>
      <c r="G546" t="s">
        <v>139</v>
      </c>
      <c r="H546" t="s">
        <v>811</v>
      </c>
      <c r="I546" t="str">
        <f>_xlfn.XLOOKUP(H546,'SO-DIMM-i9'!A:A,'SO-DIMM-i9'!B:B,_xlfn.XLOOKUP(H546,'SO-DIMM-i9'!H:H,'SO-DIMM-i9'!G:G,""))</f>
        <v/>
      </c>
    </row>
    <row r="547" spans="1:9" hidden="1" x14ac:dyDescent="0.25">
      <c r="A547">
        <v>0</v>
      </c>
      <c r="B547" t="s">
        <v>4</v>
      </c>
      <c r="C547" t="s">
        <v>139</v>
      </c>
      <c r="D547" t="s">
        <v>139</v>
      </c>
      <c r="E547" t="s">
        <v>139</v>
      </c>
      <c r="F547" t="s">
        <v>139</v>
      </c>
      <c r="G547" t="s">
        <v>139</v>
      </c>
      <c r="H547" t="s">
        <v>812</v>
      </c>
      <c r="I547" t="str">
        <f>_xlfn.XLOOKUP(H547,'SO-DIMM-i9'!A:A,'SO-DIMM-i9'!B:B,_xlfn.XLOOKUP(H547,'SO-DIMM-i9'!H:H,'SO-DIMM-i9'!G:G,""))</f>
        <v/>
      </c>
    </row>
    <row r="548" spans="1:9" hidden="1" x14ac:dyDescent="0.25">
      <c r="A548">
        <v>0</v>
      </c>
      <c r="B548" t="s">
        <v>4</v>
      </c>
      <c r="C548" t="s">
        <v>139</v>
      </c>
      <c r="D548" t="s">
        <v>139</v>
      </c>
      <c r="E548" t="s">
        <v>139</v>
      </c>
      <c r="F548" t="s">
        <v>139</v>
      </c>
      <c r="G548" t="s">
        <v>139</v>
      </c>
      <c r="H548" t="s">
        <v>813</v>
      </c>
      <c r="I548" t="str">
        <f>_xlfn.XLOOKUP(H548,'SO-DIMM-i9'!A:A,'SO-DIMM-i9'!B:B,_xlfn.XLOOKUP(H548,'SO-DIMM-i9'!H:H,'SO-DIMM-i9'!G:G,""))</f>
        <v/>
      </c>
    </row>
    <row r="549" spans="1:9" hidden="1" x14ac:dyDescent="0.25">
      <c r="A549">
        <v>0</v>
      </c>
      <c r="B549" t="s">
        <v>4</v>
      </c>
      <c r="C549" t="s">
        <v>139</v>
      </c>
      <c r="D549" t="s">
        <v>139</v>
      </c>
      <c r="E549" t="s">
        <v>139</v>
      </c>
      <c r="F549" t="s">
        <v>139</v>
      </c>
      <c r="G549" t="s">
        <v>139</v>
      </c>
      <c r="H549" t="s">
        <v>814</v>
      </c>
      <c r="I549" t="str">
        <f>_xlfn.XLOOKUP(H549,'SO-DIMM-i9'!A:A,'SO-DIMM-i9'!B:B,_xlfn.XLOOKUP(H549,'SO-DIMM-i9'!H:H,'SO-DIMM-i9'!G:G,""))</f>
        <v/>
      </c>
    </row>
    <row r="550" spans="1:9" hidden="1" x14ac:dyDescent="0.25">
      <c r="A550">
        <v>0</v>
      </c>
      <c r="B550" t="s">
        <v>4</v>
      </c>
      <c r="C550" t="s">
        <v>139</v>
      </c>
      <c r="D550" t="s">
        <v>139</v>
      </c>
      <c r="E550" t="s">
        <v>139</v>
      </c>
      <c r="F550" t="s">
        <v>139</v>
      </c>
      <c r="G550" t="s">
        <v>139</v>
      </c>
      <c r="H550" t="s">
        <v>815</v>
      </c>
      <c r="I550" t="str">
        <f>_xlfn.XLOOKUP(H550,'SO-DIMM-i9'!A:A,'SO-DIMM-i9'!B:B,_xlfn.XLOOKUP(H550,'SO-DIMM-i9'!H:H,'SO-DIMM-i9'!G:G,""))</f>
        <v/>
      </c>
    </row>
    <row r="551" spans="1:9" hidden="1" x14ac:dyDescent="0.25">
      <c r="A551">
        <v>0</v>
      </c>
      <c r="B551" t="s">
        <v>4</v>
      </c>
      <c r="C551" t="s">
        <v>139</v>
      </c>
      <c r="D551" t="s">
        <v>139</v>
      </c>
      <c r="E551" t="s">
        <v>139</v>
      </c>
      <c r="F551" t="s">
        <v>139</v>
      </c>
      <c r="G551" t="s">
        <v>139</v>
      </c>
      <c r="H551" t="s">
        <v>816</v>
      </c>
      <c r="I551" t="str">
        <f>_xlfn.XLOOKUP(H551,'SO-DIMM-i9'!A:A,'SO-DIMM-i9'!B:B,_xlfn.XLOOKUP(H551,'SO-DIMM-i9'!H:H,'SO-DIMM-i9'!G:G,""))</f>
        <v/>
      </c>
    </row>
    <row r="552" spans="1:9" hidden="1" x14ac:dyDescent="0.25">
      <c r="A552">
        <v>0</v>
      </c>
      <c r="B552" t="s">
        <v>4</v>
      </c>
      <c r="C552" t="s">
        <v>139</v>
      </c>
      <c r="D552" t="s">
        <v>139</v>
      </c>
      <c r="E552" t="s">
        <v>139</v>
      </c>
      <c r="F552" t="s">
        <v>139</v>
      </c>
      <c r="G552" t="s">
        <v>139</v>
      </c>
      <c r="H552" t="s">
        <v>817</v>
      </c>
      <c r="I552" t="str">
        <f>_xlfn.XLOOKUP(H552,'SO-DIMM-i9'!A:A,'SO-DIMM-i9'!B:B,_xlfn.XLOOKUP(H552,'SO-DIMM-i9'!H:H,'SO-DIMM-i9'!G:G,""))</f>
        <v/>
      </c>
    </row>
    <row r="553" spans="1:9" hidden="1" x14ac:dyDescent="0.25">
      <c r="A553">
        <v>0</v>
      </c>
      <c r="B553" t="s">
        <v>4</v>
      </c>
      <c r="C553" t="s">
        <v>139</v>
      </c>
      <c r="D553" t="s">
        <v>139</v>
      </c>
      <c r="E553" t="s">
        <v>139</v>
      </c>
      <c r="F553" t="s">
        <v>139</v>
      </c>
      <c r="G553" t="s">
        <v>139</v>
      </c>
      <c r="H553" t="s">
        <v>818</v>
      </c>
      <c r="I553" t="str">
        <f>_xlfn.XLOOKUP(H553,'SO-DIMM-i9'!A:A,'SO-DIMM-i9'!B:B,_xlfn.XLOOKUP(H553,'SO-DIMM-i9'!H:H,'SO-DIMM-i9'!G:G,""))</f>
        <v/>
      </c>
    </row>
    <row r="554" spans="1:9" hidden="1" x14ac:dyDescent="0.25">
      <c r="A554">
        <v>0</v>
      </c>
      <c r="B554" t="s">
        <v>4</v>
      </c>
      <c r="C554" t="s">
        <v>139</v>
      </c>
      <c r="D554" t="s">
        <v>139</v>
      </c>
      <c r="E554" t="s">
        <v>139</v>
      </c>
      <c r="F554" t="s">
        <v>139</v>
      </c>
      <c r="G554" t="s">
        <v>139</v>
      </c>
      <c r="H554" t="s">
        <v>819</v>
      </c>
      <c r="I554" t="str">
        <f>_xlfn.XLOOKUP(H554,'SO-DIMM-i9'!A:A,'SO-DIMM-i9'!B:B,_xlfn.XLOOKUP(H554,'SO-DIMM-i9'!H:H,'SO-DIMM-i9'!G:G,""))</f>
        <v/>
      </c>
    </row>
    <row r="555" spans="1:9" hidden="1" x14ac:dyDescent="0.25">
      <c r="A555">
        <v>0</v>
      </c>
      <c r="B555" t="s">
        <v>4</v>
      </c>
      <c r="C555" t="s">
        <v>139</v>
      </c>
      <c r="D555" t="s">
        <v>139</v>
      </c>
      <c r="E555" t="s">
        <v>139</v>
      </c>
      <c r="F555" t="s">
        <v>139</v>
      </c>
      <c r="G555" t="s">
        <v>139</v>
      </c>
      <c r="H555" t="s">
        <v>820</v>
      </c>
      <c r="I555" t="str">
        <f>_xlfn.XLOOKUP(H555,'SO-DIMM-i9'!A:A,'SO-DIMM-i9'!B:B,_xlfn.XLOOKUP(H555,'SO-DIMM-i9'!H:H,'SO-DIMM-i9'!G:G,""))</f>
        <v/>
      </c>
    </row>
    <row r="556" spans="1:9" hidden="1" x14ac:dyDescent="0.25">
      <c r="A556">
        <v>0</v>
      </c>
      <c r="B556" t="s">
        <v>4</v>
      </c>
      <c r="C556" t="s">
        <v>139</v>
      </c>
      <c r="D556" t="s">
        <v>139</v>
      </c>
      <c r="E556" t="s">
        <v>139</v>
      </c>
      <c r="F556" t="s">
        <v>139</v>
      </c>
      <c r="G556" t="s">
        <v>139</v>
      </c>
      <c r="H556" t="s">
        <v>139</v>
      </c>
    </row>
    <row r="557" spans="1:9" hidden="1" x14ac:dyDescent="0.25">
      <c r="A557">
        <v>0</v>
      </c>
      <c r="B557" t="s">
        <v>4</v>
      </c>
      <c r="C557" t="s">
        <v>139</v>
      </c>
      <c r="D557" t="s">
        <v>139</v>
      </c>
      <c r="E557" t="s">
        <v>139</v>
      </c>
      <c r="F557" t="s">
        <v>139</v>
      </c>
      <c r="G557" t="s">
        <v>139</v>
      </c>
      <c r="H557" t="s">
        <v>139</v>
      </c>
    </row>
    <row r="558" spans="1:9" hidden="1" x14ac:dyDescent="0.25">
      <c r="A558">
        <v>0</v>
      </c>
      <c r="B558" t="s">
        <v>4</v>
      </c>
      <c r="C558" t="s">
        <v>139</v>
      </c>
      <c r="D558" t="s">
        <v>139</v>
      </c>
      <c r="E558" t="s">
        <v>139</v>
      </c>
      <c r="F558" t="s">
        <v>139</v>
      </c>
      <c r="G558" t="s">
        <v>139</v>
      </c>
      <c r="H558" t="s">
        <v>139</v>
      </c>
    </row>
    <row r="559" spans="1:9" hidden="1" x14ac:dyDescent="0.25">
      <c r="A559">
        <v>0</v>
      </c>
      <c r="B559" t="s">
        <v>4</v>
      </c>
      <c r="C559" t="s">
        <v>139</v>
      </c>
      <c r="D559" t="s">
        <v>139</v>
      </c>
      <c r="E559" t="s">
        <v>139</v>
      </c>
      <c r="F559" t="s">
        <v>139</v>
      </c>
      <c r="G559" t="s">
        <v>139</v>
      </c>
      <c r="H559" t="s">
        <v>139</v>
      </c>
    </row>
    <row r="560" spans="1:9" hidden="1" x14ac:dyDescent="0.25">
      <c r="A560">
        <v>0</v>
      </c>
      <c r="B560" t="s">
        <v>4</v>
      </c>
      <c r="C560" t="s">
        <v>139</v>
      </c>
      <c r="D560" t="s">
        <v>139</v>
      </c>
      <c r="E560" t="s">
        <v>139</v>
      </c>
      <c r="F560" t="s">
        <v>139</v>
      </c>
      <c r="G560" t="s">
        <v>139</v>
      </c>
      <c r="H560" t="s">
        <v>139</v>
      </c>
    </row>
    <row r="561" spans="1:8" hidden="1" x14ac:dyDescent="0.25">
      <c r="A561">
        <v>0</v>
      </c>
      <c r="B561" t="s">
        <v>4</v>
      </c>
      <c r="C561" t="s">
        <v>139</v>
      </c>
      <c r="D561" t="s">
        <v>139</v>
      </c>
      <c r="E561" t="s">
        <v>139</v>
      </c>
      <c r="F561" t="s">
        <v>139</v>
      </c>
      <c r="G561" t="s">
        <v>139</v>
      </c>
      <c r="H561" t="s">
        <v>139</v>
      </c>
    </row>
    <row r="562" spans="1:8" hidden="1" x14ac:dyDescent="0.25">
      <c r="A562">
        <v>0</v>
      </c>
      <c r="B562" t="s">
        <v>4</v>
      </c>
      <c r="C562" t="s">
        <v>139</v>
      </c>
      <c r="D562" t="s">
        <v>139</v>
      </c>
      <c r="E562" t="s">
        <v>139</v>
      </c>
      <c r="F562" t="s">
        <v>139</v>
      </c>
      <c r="G562" t="s">
        <v>139</v>
      </c>
      <c r="H562" t="s">
        <v>139</v>
      </c>
    </row>
    <row r="563" spans="1:8" hidden="1" x14ac:dyDescent="0.25">
      <c r="A563">
        <v>0</v>
      </c>
      <c r="B563" t="s">
        <v>4</v>
      </c>
      <c r="C563" t="s">
        <v>139</v>
      </c>
      <c r="D563" t="s">
        <v>139</v>
      </c>
      <c r="E563" t="s">
        <v>139</v>
      </c>
      <c r="F563" t="s">
        <v>139</v>
      </c>
      <c r="G563" t="s">
        <v>139</v>
      </c>
      <c r="H563" t="s">
        <v>139</v>
      </c>
    </row>
    <row r="564" spans="1:8" hidden="1" x14ac:dyDescent="0.25">
      <c r="A564">
        <v>0</v>
      </c>
      <c r="B564" t="s">
        <v>4</v>
      </c>
      <c r="C564" t="s">
        <v>139</v>
      </c>
      <c r="D564" t="s">
        <v>139</v>
      </c>
      <c r="E564" t="s">
        <v>139</v>
      </c>
      <c r="F564" t="s">
        <v>139</v>
      </c>
      <c r="G564" t="s">
        <v>139</v>
      </c>
      <c r="H564" t="s">
        <v>139</v>
      </c>
    </row>
    <row r="565" spans="1:8" hidden="1" x14ac:dyDescent="0.25">
      <c r="A565">
        <v>0</v>
      </c>
      <c r="B565" t="s">
        <v>4</v>
      </c>
      <c r="C565" t="s">
        <v>139</v>
      </c>
      <c r="D565" t="s">
        <v>139</v>
      </c>
      <c r="E565" t="s">
        <v>139</v>
      </c>
      <c r="F565" t="s">
        <v>139</v>
      </c>
      <c r="G565" t="s">
        <v>139</v>
      </c>
      <c r="H565" t="s">
        <v>139</v>
      </c>
    </row>
    <row r="566" spans="1:8" hidden="1" x14ac:dyDescent="0.25">
      <c r="A566">
        <v>0</v>
      </c>
      <c r="B566" t="s">
        <v>4</v>
      </c>
      <c r="C566" t="s">
        <v>139</v>
      </c>
      <c r="D566" t="s">
        <v>139</v>
      </c>
      <c r="E566" t="s">
        <v>139</v>
      </c>
      <c r="F566" t="s">
        <v>139</v>
      </c>
      <c r="G566" t="s">
        <v>139</v>
      </c>
      <c r="H566" t="s">
        <v>139</v>
      </c>
    </row>
    <row r="567" spans="1:8" hidden="1" x14ac:dyDescent="0.25">
      <c r="A567">
        <v>0</v>
      </c>
      <c r="B567" t="s">
        <v>4</v>
      </c>
      <c r="C567" t="s">
        <v>139</v>
      </c>
      <c r="D567" t="s">
        <v>139</v>
      </c>
      <c r="E567" t="s">
        <v>139</v>
      </c>
      <c r="F567" t="s">
        <v>139</v>
      </c>
      <c r="G567" t="s">
        <v>139</v>
      </c>
      <c r="H567" t="s">
        <v>139</v>
      </c>
    </row>
    <row r="568" spans="1:8" hidden="1" x14ac:dyDescent="0.25">
      <c r="A568">
        <v>0</v>
      </c>
      <c r="B568" t="s">
        <v>4</v>
      </c>
      <c r="C568" t="s">
        <v>139</v>
      </c>
      <c r="D568" t="s">
        <v>139</v>
      </c>
      <c r="E568" t="s">
        <v>139</v>
      </c>
      <c r="F568" t="s">
        <v>139</v>
      </c>
      <c r="G568" t="s">
        <v>139</v>
      </c>
      <c r="H568" t="s">
        <v>139</v>
      </c>
    </row>
    <row r="569" spans="1:8" hidden="1" x14ac:dyDescent="0.25">
      <c r="A569">
        <v>0</v>
      </c>
      <c r="B569" t="s">
        <v>4</v>
      </c>
      <c r="C569" t="s">
        <v>139</v>
      </c>
      <c r="D569" t="s">
        <v>139</v>
      </c>
      <c r="E569" t="s">
        <v>139</v>
      </c>
      <c r="F569" t="s">
        <v>139</v>
      </c>
      <c r="G569" t="s">
        <v>139</v>
      </c>
      <c r="H569" t="s">
        <v>139</v>
      </c>
    </row>
    <row r="570" spans="1:8" hidden="1" x14ac:dyDescent="0.25">
      <c r="A570">
        <v>0</v>
      </c>
      <c r="B570" t="s">
        <v>4</v>
      </c>
      <c r="C570" t="s">
        <v>139</v>
      </c>
      <c r="D570" t="s">
        <v>139</v>
      </c>
      <c r="E570" t="s">
        <v>139</v>
      </c>
      <c r="F570" t="s">
        <v>139</v>
      </c>
      <c r="G570" t="s">
        <v>139</v>
      </c>
      <c r="H570" t="s">
        <v>139</v>
      </c>
    </row>
    <row r="571" spans="1:8" hidden="1" x14ac:dyDescent="0.25">
      <c r="A571">
        <v>0</v>
      </c>
      <c r="B571" t="s">
        <v>4</v>
      </c>
      <c r="C571" t="s">
        <v>139</v>
      </c>
      <c r="D571" t="s">
        <v>139</v>
      </c>
      <c r="E571" t="s">
        <v>139</v>
      </c>
      <c r="F571" t="s">
        <v>139</v>
      </c>
      <c r="G571" t="s">
        <v>139</v>
      </c>
      <c r="H571" t="s">
        <v>139</v>
      </c>
    </row>
    <row r="572" spans="1:8" hidden="1" x14ac:dyDescent="0.25">
      <c r="A572">
        <v>0</v>
      </c>
      <c r="B572" t="s">
        <v>4</v>
      </c>
      <c r="C572" t="s">
        <v>139</v>
      </c>
      <c r="D572" t="s">
        <v>139</v>
      </c>
      <c r="E572" t="s">
        <v>139</v>
      </c>
      <c r="F572" t="s">
        <v>139</v>
      </c>
      <c r="G572" t="s">
        <v>139</v>
      </c>
      <c r="H572" t="s">
        <v>139</v>
      </c>
    </row>
    <row r="573" spans="1:8" hidden="1" x14ac:dyDescent="0.25">
      <c r="A573">
        <v>0</v>
      </c>
      <c r="B573" t="s">
        <v>4</v>
      </c>
      <c r="C573" t="s">
        <v>139</v>
      </c>
      <c r="D573" t="s">
        <v>139</v>
      </c>
      <c r="E573" t="s">
        <v>139</v>
      </c>
      <c r="F573" t="s">
        <v>139</v>
      </c>
      <c r="G573" t="s">
        <v>139</v>
      </c>
      <c r="H573" t="s">
        <v>139</v>
      </c>
    </row>
    <row r="574" spans="1:8" hidden="1" x14ac:dyDescent="0.25">
      <c r="A574">
        <v>0</v>
      </c>
      <c r="B574" t="s">
        <v>4</v>
      </c>
      <c r="C574" t="s">
        <v>139</v>
      </c>
      <c r="D574" t="s">
        <v>139</v>
      </c>
      <c r="E574" t="s">
        <v>139</v>
      </c>
      <c r="F574" t="s">
        <v>139</v>
      </c>
      <c r="G574" t="s">
        <v>139</v>
      </c>
      <c r="H574" t="s">
        <v>139</v>
      </c>
    </row>
    <row r="575" spans="1:8" hidden="1" x14ac:dyDescent="0.25">
      <c r="A575">
        <v>0</v>
      </c>
      <c r="B575" t="s">
        <v>4</v>
      </c>
      <c r="C575" t="s">
        <v>139</v>
      </c>
      <c r="D575" t="s">
        <v>139</v>
      </c>
      <c r="E575" t="s">
        <v>139</v>
      </c>
      <c r="F575" t="s">
        <v>139</v>
      </c>
      <c r="G575" t="s">
        <v>139</v>
      </c>
      <c r="H575" t="s">
        <v>139</v>
      </c>
    </row>
    <row r="576" spans="1:8" hidden="1" x14ac:dyDescent="0.25">
      <c r="A576">
        <v>0</v>
      </c>
      <c r="B576" t="s">
        <v>4</v>
      </c>
      <c r="C576" t="s">
        <v>139</v>
      </c>
      <c r="D576" t="s">
        <v>139</v>
      </c>
      <c r="E576" t="s">
        <v>139</v>
      </c>
      <c r="F576" t="s">
        <v>139</v>
      </c>
      <c r="G576" t="s">
        <v>139</v>
      </c>
      <c r="H576" t="s">
        <v>139</v>
      </c>
    </row>
    <row r="577" spans="1:8" hidden="1" x14ac:dyDescent="0.25">
      <c r="A577">
        <v>0</v>
      </c>
      <c r="B577" t="s">
        <v>4</v>
      </c>
      <c r="C577" t="s">
        <v>139</v>
      </c>
      <c r="D577" t="s">
        <v>139</v>
      </c>
      <c r="E577" t="s">
        <v>139</v>
      </c>
      <c r="F577" t="s">
        <v>139</v>
      </c>
      <c r="G577" t="s">
        <v>139</v>
      </c>
      <c r="H577" t="s">
        <v>139</v>
      </c>
    </row>
    <row r="578" spans="1:8" hidden="1" x14ac:dyDescent="0.25">
      <c r="A578">
        <v>0</v>
      </c>
      <c r="B578" t="s">
        <v>4</v>
      </c>
      <c r="C578" t="s">
        <v>139</v>
      </c>
      <c r="D578" t="s">
        <v>139</v>
      </c>
      <c r="E578" t="s">
        <v>139</v>
      </c>
      <c r="F578" t="s">
        <v>139</v>
      </c>
      <c r="G578" t="s">
        <v>139</v>
      </c>
      <c r="H578" t="s">
        <v>139</v>
      </c>
    </row>
    <row r="579" spans="1:8" hidden="1" x14ac:dyDescent="0.25">
      <c r="A579">
        <v>0</v>
      </c>
      <c r="B579" t="s">
        <v>4</v>
      </c>
      <c r="C579" t="s">
        <v>139</v>
      </c>
      <c r="D579" t="s">
        <v>139</v>
      </c>
      <c r="E579" t="s">
        <v>139</v>
      </c>
      <c r="F579" t="s">
        <v>139</v>
      </c>
      <c r="G579" t="s">
        <v>139</v>
      </c>
      <c r="H579" t="s">
        <v>139</v>
      </c>
    </row>
    <row r="580" spans="1:8" hidden="1" x14ac:dyDescent="0.25">
      <c r="A580">
        <v>0</v>
      </c>
      <c r="B580" t="s">
        <v>4</v>
      </c>
      <c r="C580" t="s">
        <v>139</v>
      </c>
      <c r="D580" t="s">
        <v>139</v>
      </c>
      <c r="E580" t="s">
        <v>139</v>
      </c>
      <c r="F580" t="s">
        <v>139</v>
      </c>
      <c r="G580" t="s">
        <v>139</v>
      </c>
      <c r="H580" t="s">
        <v>139</v>
      </c>
    </row>
    <row r="581" spans="1:8" hidden="1" x14ac:dyDescent="0.25">
      <c r="A581">
        <v>0</v>
      </c>
      <c r="B581" t="s">
        <v>4</v>
      </c>
      <c r="C581" t="s">
        <v>139</v>
      </c>
      <c r="D581" t="s">
        <v>139</v>
      </c>
      <c r="E581" t="s">
        <v>139</v>
      </c>
      <c r="F581" t="s">
        <v>139</v>
      </c>
      <c r="G581" t="s">
        <v>139</v>
      </c>
      <c r="H581" t="s">
        <v>139</v>
      </c>
    </row>
    <row r="582" spans="1:8" hidden="1" x14ac:dyDescent="0.25">
      <c r="A582">
        <v>0</v>
      </c>
      <c r="B582" t="s">
        <v>4</v>
      </c>
      <c r="C582" t="s">
        <v>139</v>
      </c>
      <c r="D582" t="s">
        <v>139</v>
      </c>
      <c r="E582" t="s">
        <v>139</v>
      </c>
      <c r="F582" t="s">
        <v>139</v>
      </c>
      <c r="G582" t="s">
        <v>139</v>
      </c>
      <c r="H582" t="s">
        <v>139</v>
      </c>
    </row>
    <row r="583" spans="1:8" hidden="1" x14ac:dyDescent="0.25">
      <c r="A583">
        <v>0</v>
      </c>
      <c r="B583" t="s">
        <v>4</v>
      </c>
      <c r="C583" t="s">
        <v>139</v>
      </c>
      <c r="D583" t="s">
        <v>139</v>
      </c>
      <c r="E583" t="s">
        <v>139</v>
      </c>
      <c r="F583" t="s">
        <v>139</v>
      </c>
      <c r="G583" t="s">
        <v>139</v>
      </c>
      <c r="H583" t="s">
        <v>139</v>
      </c>
    </row>
    <row r="584" spans="1:8" hidden="1" x14ac:dyDescent="0.25">
      <c r="A584">
        <v>0</v>
      </c>
      <c r="B584" t="s">
        <v>4</v>
      </c>
      <c r="C584" t="s">
        <v>139</v>
      </c>
      <c r="D584" t="s">
        <v>139</v>
      </c>
      <c r="E584" t="s">
        <v>139</v>
      </c>
      <c r="F584" t="s">
        <v>139</v>
      </c>
      <c r="G584" t="s">
        <v>139</v>
      </c>
      <c r="H584" t="s">
        <v>139</v>
      </c>
    </row>
    <row r="585" spans="1:8" hidden="1" x14ac:dyDescent="0.25">
      <c r="A585">
        <v>0</v>
      </c>
      <c r="B585" t="s">
        <v>4</v>
      </c>
      <c r="C585" t="s">
        <v>139</v>
      </c>
      <c r="D585" t="s">
        <v>139</v>
      </c>
      <c r="E585" t="s">
        <v>139</v>
      </c>
      <c r="F585" t="s">
        <v>139</v>
      </c>
      <c r="G585" t="s">
        <v>139</v>
      </c>
      <c r="H585" t="s">
        <v>139</v>
      </c>
    </row>
    <row r="586" spans="1:8" hidden="1" x14ac:dyDescent="0.25">
      <c r="A586">
        <v>0</v>
      </c>
      <c r="B586" t="s">
        <v>4</v>
      </c>
      <c r="C586" t="s">
        <v>139</v>
      </c>
      <c r="D586" t="s">
        <v>139</v>
      </c>
      <c r="E586" t="s">
        <v>139</v>
      </c>
      <c r="F586" t="s">
        <v>139</v>
      </c>
      <c r="G586" t="s">
        <v>139</v>
      </c>
      <c r="H586" t="s">
        <v>139</v>
      </c>
    </row>
    <row r="587" spans="1:8" hidden="1" x14ac:dyDescent="0.25">
      <c r="A587">
        <v>0</v>
      </c>
      <c r="B587" t="s">
        <v>4</v>
      </c>
      <c r="C587" t="s">
        <v>139</v>
      </c>
      <c r="D587" t="s">
        <v>139</v>
      </c>
      <c r="E587" t="s">
        <v>139</v>
      </c>
      <c r="F587" t="s">
        <v>139</v>
      </c>
      <c r="G587" t="s">
        <v>139</v>
      </c>
      <c r="H587" t="s">
        <v>139</v>
      </c>
    </row>
    <row r="588" spans="1:8" hidden="1" x14ac:dyDescent="0.25">
      <c r="A588">
        <v>0</v>
      </c>
      <c r="B588" t="s">
        <v>4</v>
      </c>
      <c r="C588" t="s">
        <v>139</v>
      </c>
      <c r="D588" t="s">
        <v>139</v>
      </c>
      <c r="E588" t="s">
        <v>139</v>
      </c>
      <c r="F588" t="s">
        <v>139</v>
      </c>
      <c r="G588" t="s">
        <v>139</v>
      </c>
      <c r="H588" t="s">
        <v>139</v>
      </c>
    </row>
    <row r="589" spans="1:8" hidden="1" x14ac:dyDescent="0.25">
      <c r="A589">
        <v>0</v>
      </c>
      <c r="B589" t="s">
        <v>4</v>
      </c>
      <c r="C589" t="s">
        <v>139</v>
      </c>
      <c r="D589" t="s">
        <v>139</v>
      </c>
      <c r="E589" t="s">
        <v>139</v>
      </c>
      <c r="F589" t="s">
        <v>139</v>
      </c>
      <c r="G589" t="s">
        <v>139</v>
      </c>
      <c r="H589" t="s">
        <v>139</v>
      </c>
    </row>
    <row r="590" spans="1:8" hidden="1" x14ac:dyDescent="0.25">
      <c r="A590">
        <v>0</v>
      </c>
      <c r="B590" t="s">
        <v>4</v>
      </c>
      <c r="C590" t="s">
        <v>139</v>
      </c>
      <c r="D590" t="s">
        <v>139</v>
      </c>
      <c r="E590" t="s">
        <v>139</v>
      </c>
      <c r="F590" t="s">
        <v>139</v>
      </c>
      <c r="G590" t="s">
        <v>139</v>
      </c>
      <c r="H590" t="s">
        <v>139</v>
      </c>
    </row>
    <row r="591" spans="1:8" hidden="1" x14ac:dyDescent="0.25">
      <c r="A591">
        <v>0</v>
      </c>
      <c r="B591" t="s">
        <v>4</v>
      </c>
      <c r="C591" t="s">
        <v>139</v>
      </c>
      <c r="D591" t="s">
        <v>139</v>
      </c>
      <c r="E591" t="s">
        <v>139</v>
      </c>
      <c r="F591" t="s">
        <v>139</v>
      </c>
      <c r="G591" t="s">
        <v>139</v>
      </c>
      <c r="H591" t="s">
        <v>139</v>
      </c>
    </row>
    <row r="592" spans="1:8" hidden="1" x14ac:dyDescent="0.25">
      <c r="A592">
        <v>0</v>
      </c>
      <c r="B592" t="s">
        <v>4</v>
      </c>
      <c r="C592" t="s">
        <v>139</v>
      </c>
      <c r="D592" t="s">
        <v>139</v>
      </c>
      <c r="E592" t="s">
        <v>139</v>
      </c>
      <c r="F592" t="s">
        <v>139</v>
      </c>
      <c r="G592" t="s">
        <v>139</v>
      </c>
      <c r="H592" t="s">
        <v>139</v>
      </c>
    </row>
    <row r="593" spans="1:8" hidden="1" x14ac:dyDescent="0.25">
      <c r="A593">
        <v>0</v>
      </c>
      <c r="B593" t="s">
        <v>4</v>
      </c>
      <c r="C593" t="s">
        <v>139</v>
      </c>
      <c r="D593" t="s">
        <v>139</v>
      </c>
      <c r="E593" t="s">
        <v>139</v>
      </c>
      <c r="F593" t="s">
        <v>139</v>
      </c>
      <c r="G593" t="s">
        <v>139</v>
      </c>
      <c r="H593" t="s">
        <v>139</v>
      </c>
    </row>
    <row r="594" spans="1:8" hidden="1" x14ac:dyDescent="0.25">
      <c r="A594">
        <v>0</v>
      </c>
      <c r="B594" t="s">
        <v>4</v>
      </c>
      <c r="C594" t="s">
        <v>139</v>
      </c>
      <c r="D594" t="s">
        <v>139</v>
      </c>
      <c r="E594" t="s">
        <v>139</v>
      </c>
      <c r="F594" t="s">
        <v>139</v>
      </c>
      <c r="G594" t="s">
        <v>139</v>
      </c>
      <c r="H594" t="s">
        <v>139</v>
      </c>
    </row>
    <row r="595" spans="1:8" hidden="1" x14ac:dyDescent="0.25">
      <c r="A595">
        <v>0</v>
      </c>
      <c r="B595" t="s">
        <v>4</v>
      </c>
      <c r="C595" t="s">
        <v>139</v>
      </c>
      <c r="D595" t="s">
        <v>139</v>
      </c>
      <c r="E595" t="s">
        <v>139</v>
      </c>
      <c r="F595" t="s">
        <v>139</v>
      </c>
      <c r="G595" t="s">
        <v>139</v>
      </c>
      <c r="H595" t="s">
        <v>139</v>
      </c>
    </row>
    <row r="596" spans="1:8" hidden="1" x14ac:dyDescent="0.25">
      <c r="A596">
        <v>0</v>
      </c>
      <c r="B596" t="s">
        <v>4</v>
      </c>
      <c r="C596" t="s">
        <v>139</v>
      </c>
      <c r="D596" t="s">
        <v>139</v>
      </c>
      <c r="E596" t="s">
        <v>139</v>
      </c>
      <c r="F596" t="s">
        <v>139</v>
      </c>
      <c r="G596" t="s">
        <v>139</v>
      </c>
      <c r="H596" t="s">
        <v>139</v>
      </c>
    </row>
    <row r="597" spans="1:8" hidden="1" x14ac:dyDescent="0.25">
      <c r="A597">
        <v>0</v>
      </c>
      <c r="B597" t="s">
        <v>4</v>
      </c>
      <c r="C597" t="s">
        <v>139</v>
      </c>
      <c r="D597" t="s">
        <v>139</v>
      </c>
      <c r="E597" t="s">
        <v>139</v>
      </c>
      <c r="F597" t="s">
        <v>139</v>
      </c>
      <c r="G597" t="s">
        <v>139</v>
      </c>
      <c r="H597" t="s">
        <v>139</v>
      </c>
    </row>
    <row r="598" spans="1:8" hidden="1" x14ac:dyDescent="0.25">
      <c r="A598">
        <v>0</v>
      </c>
      <c r="B598" t="s">
        <v>4</v>
      </c>
      <c r="C598" t="s">
        <v>139</v>
      </c>
      <c r="D598" t="s">
        <v>139</v>
      </c>
      <c r="E598" t="s">
        <v>139</v>
      </c>
      <c r="F598" t="s">
        <v>139</v>
      </c>
      <c r="G598" t="s">
        <v>139</v>
      </c>
      <c r="H598" t="s">
        <v>139</v>
      </c>
    </row>
    <row r="599" spans="1:8" hidden="1" x14ac:dyDescent="0.25">
      <c r="A599">
        <v>0</v>
      </c>
      <c r="B599" t="s">
        <v>4</v>
      </c>
      <c r="C599" t="s">
        <v>139</v>
      </c>
      <c r="D599" t="s">
        <v>139</v>
      </c>
      <c r="E599" t="s">
        <v>139</v>
      </c>
      <c r="F599" t="s">
        <v>139</v>
      </c>
      <c r="G599" t="s">
        <v>139</v>
      </c>
      <c r="H599" t="s">
        <v>139</v>
      </c>
    </row>
    <row r="600" spans="1:8" hidden="1" x14ac:dyDescent="0.25">
      <c r="A600">
        <v>0</v>
      </c>
      <c r="B600" t="s">
        <v>4</v>
      </c>
      <c r="C600" t="s">
        <v>139</v>
      </c>
      <c r="D600" t="s">
        <v>139</v>
      </c>
      <c r="E600" t="s">
        <v>139</v>
      </c>
      <c r="F600" t="s">
        <v>139</v>
      </c>
      <c r="G600" t="s">
        <v>139</v>
      </c>
      <c r="H600" t="s">
        <v>139</v>
      </c>
    </row>
    <row r="601" spans="1:8" hidden="1" x14ac:dyDescent="0.25">
      <c r="A601">
        <v>0</v>
      </c>
      <c r="B601" t="s">
        <v>4</v>
      </c>
      <c r="C601" t="s">
        <v>139</v>
      </c>
      <c r="D601" t="s">
        <v>139</v>
      </c>
      <c r="E601" t="s">
        <v>139</v>
      </c>
      <c r="F601" t="s">
        <v>139</v>
      </c>
      <c r="G601" t="s">
        <v>139</v>
      </c>
      <c r="H601" t="s">
        <v>139</v>
      </c>
    </row>
    <row r="602" spans="1:8" hidden="1" x14ac:dyDescent="0.25">
      <c r="A602">
        <v>0</v>
      </c>
      <c r="B602" t="s">
        <v>4</v>
      </c>
      <c r="C602" t="s">
        <v>139</v>
      </c>
      <c r="D602" t="s">
        <v>139</v>
      </c>
      <c r="E602" t="s">
        <v>139</v>
      </c>
      <c r="F602" t="s">
        <v>139</v>
      </c>
      <c r="G602" t="s">
        <v>139</v>
      </c>
      <c r="H602" t="s">
        <v>139</v>
      </c>
    </row>
    <row r="603" spans="1:8" hidden="1" x14ac:dyDescent="0.25">
      <c r="A603">
        <v>0</v>
      </c>
      <c r="B603" t="s">
        <v>4</v>
      </c>
      <c r="C603" t="s">
        <v>139</v>
      </c>
      <c r="D603" t="s">
        <v>139</v>
      </c>
      <c r="E603" t="s">
        <v>139</v>
      </c>
      <c r="F603" t="s">
        <v>139</v>
      </c>
      <c r="G603" t="s">
        <v>139</v>
      </c>
      <c r="H603" t="s">
        <v>139</v>
      </c>
    </row>
    <row r="604" spans="1:8" hidden="1" x14ac:dyDescent="0.25">
      <c r="A604">
        <v>0</v>
      </c>
      <c r="B604" t="s">
        <v>4</v>
      </c>
      <c r="C604" t="s">
        <v>139</v>
      </c>
      <c r="D604" t="s">
        <v>139</v>
      </c>
      <c r="E604" t="s">
        <v>139</v>
      </c>
      <c r="F604" t="s">
        <v>139</v>
      </c>
      <c r="G604" t="s">
        <v>139</v>
      </c>
      <c r="H604" t="s">
        <v>139</v>
      </c>
    </row>
    <row r="605" spans="1:8" hidden="1" x14ac:dyDescent="0.25">
      <c r="A605">
        <v>0</v>
      </c>
      <c r="B605" t="s">
        <v>4</v>
      </c>
      <c r="C605" t="s">
        <v>139</v>
      </c>
      <c r="D605" t="s">
        <v>139</v>
      </c>
      <c r="E605" t="s">
        <v>139</v>
      </c>
      <c r="F605" t="s">
        <v>139</v>
      </c>
      <c r="G605" t="s">
        <v>139</v>
      </c>
      <c r="H605" t="s">
        <v>139</v>
      </c>
    </row>
    <row r="606" spans="1:8" hidden="1" x14ac:dyDescent="0.25">
      <c r="A606">
        <v>0</v>
      </c>
      <c r="B606" t="s">
        <v>4</v>
      </c>
      <c r="C606" t="s">
        <v>139</v>
      </c>
      <c r="D606" t="s">
        <v>139</v>
      </c>
      <c r="E606" t="s">
        <v>139</v>
      </c>
      <c r="F606" t="s">
        <v>139</v>
      </c>
      <c r="G606" t="s">
        <v>139</v>
      </c>
      <c r="H606" t="s">
        <v>139</v>
      </c>
    </row>
    <row r="607" spans="1:8" hidden="1" x14ac:dyDescent="0.25">
      <c r="A607">
        <v>0</v>
      </c>
      <c r="B607" t="s">
        <v>4</v>
      </c>
      <c r="C607" t="s">
        <v>139</v>
      </c>
      <c r="D607" t="s">
        <v>139</v>
      </c>
      <c r="E607" t="s">
        <v>139</v>
      </c>
      <c r="F607" t="s">
        <v>139</v>
      </c>
      <c r="G607" t="s">
        <v>139</v>
      </c>
      <c r="H607" t="s">
        <v>139</v>
      </c>
    </row>
    <row r="608" spans="1:8" hidden="1" x14ac:dyDescent="0.25">
      <c r="A608">
        <v>0</v>
      </c>
      <c r="B608" t="s">
        <v>4</v>
      </c>
      <c r="C608" t="s">
        <v>139</v>
      </c>
      <c r="D608" t="s">
        <v>139</v>
      </c>
      <c r="E608" t="s">
        <v>139</v>
      </c>
      <c r="F608" t="s">
        <v>139</v>
      </c>
      <c r="G608" t="s">
        <v>139</v>
      </c>
      <c r="H608" t="s">
        <v>139</v>
      </c>
    </row>
    <row r="609" spans="1:9" hidden="1" x14ac:dyDescent="0.25">
      <c r="A609">
        <v>0</v>
      </c>
      <c r="B609" t="s">
        <v>4</v>
      </c>
      <c r="C609" t="s">
        <v>139</v>
      </c>
      <c r="D609" t="s">
        <v>139</v>
      </c>
      <c r="E609" t="s">
        <v>139</v>
      </c>
      <c r="F609" t="s">
        <v>139</v>
      </c>
      <c r="G609" t="s">
        <v>139</v>
      </c>
      <c r="H609" t="s">
        <v>139</v>
      </c>
    </row>
    <row r="610" spans="1:9" hidden="1" x14ac:dyDescent="0.25">
      <c r="A610">
        <v>0</v>
      </c>
      <c r="B610" t="s">
        <v>4</v>
      </c>
      <c r="C610" t="s">
        <v>139</v>
      </c>
      <c r="D610" t="s">
        <v>139</v>
      </c>
      <c r="E610" t="s">
        <v>139</v>
      </c>
      <c r="F610" t="s">
        <v>139</v>
      </c>
      <c r="G610" t="s">
        <v>139</v>
      </c>
      <c r="H610" t="s">
        <v>139</v>
      </c>
    </row>
    <row r="611" spans="1:9" hidden="1" x14ac:dyDescent="0.25">
      <c r="A611">
        <v>0</v>
      </c>
      <c r="B611" t="s">
        <v>4</v>
      </c>
      <c r="C611" t="s">
        <v>139</v>
      </c>
      <c r="D611" t="s">
        <v>139</v>
      </c>
      <c r="E611" t="s">
        <v>139</v>
      </c>
      <c r="F611" t="s">
        <v>139</v>
      </c>
      <c r="G611" t="s">
        <v>139</v>
      </c>
      <c r="H611" t="s">
        <v>139</v>
      </c>
    </row>
    <row r="612" spans="1:9" hidden="1" x14ac:dyDescent="0.25">
      <c r="A612">
        <v>0</v>
      </c>
      <c r="B612" t="s">
        <v>4</v>
      </c>
      <c r="C612" t="s">
        <v>139</v>
      </c>
      <c r="D612" t="s">
        <v>139</v>
      </c>
      <c r="E612" t="s">
        <v>139</v>
      </c>
      <c r="F612" t="s">
        <v>139</v>
      </c>
      <c r="G612" t="s">
        <v>139</v>
      </c>
      <c r="H612" t="s">
        <v>139</v>
      </c>
    </row>
    <row r="613" spans="1:9" hidden="1" x14ac:dyDescent="0.25">
      <c r="A613">
        <v>0</v>
      </c>
      <c r="B613" t="s">
        <v>4</v>
      </c>
      <c r="C613" t="s">
        <v>139</v>
      </c>
      <c r="D613" t="s">
        <v>139</v>
      </c>
      <c r="E613" t="s">
        <v>139</v>
      </c>
      <c r="F613" t="s">
        <v>139</v>
      </c>
      <c r="G613" t="s">
        <v>139</v>
      </c>
      <c r="H613" t="s">
        <v>139</v>
      </c>
    </row>
    <row r="614" spans="1:9" hidden="1" x14ac:dyDescent="0.25">
      <c r="A614">
        <v>0</v>
      </c>
      <c r="B614" t="s">
        <v>4</v>
      </c>
      <c r="C614" t="s">
        <v>139</v>
      </c>
      <c r="D614" t="s">
        <v>139</v>
      </c>
      <c r="E614" t="s">
        <v>139</v>
      </c>
      <c r="F614" t="s">
        <v>139</v>
      </c>
      <c r="G614" t="s">
        <v>139</v>
      </c>
      <c r="H614" t="s">
        <v>139</v>
      </c>
    </row>
    <row r="615" spans="1:9" hidden="1" x14ac:dyDescent="0.25">
      <c r="A615">
        <v>0</v>
      </c>
      <c r="B615" t="s">
        <v>167</v>
      </c>
      <c r="C615" t="s">
        <v>139</v>
      </c>
      <c r="D615" t="s">
        <v>139</v>
      </c>
      <c r="E615" t="s">
        <v>139</v>
      </c>
      <c r="F615" t="s">
        <v>139</v>
      </c>
      <c r="G615" t="s">
        <v>139</v>
      </c>
      <c r="H615" t="s">
        <v>821</v>
      </c>
      <c r="I615" t="str">
        <f>_xlfn.XLOOKUP(H615,'SO-DIMM-i9'!A:A,'SO-DIMM-i9'!B:B,_xlfn.XLOOKUP(H615,'SO-DIMM-i9'!H:H,'SO-DIMM-i9'!G:G,""))</f>
        <v/>
      </c>
    </row>
    <row r="616" spans="1:9" hidden="1" x14ac:dyDescent="0.25">
      <c r="A616">
        <v>0</v>
      </c>
      <c r="B616" t="s">
        <v>167</v>
      </c>
      <c r="C616" t="s">
        <v>139</v>
      </c>
      <c r="D616" t="s">
        <v>139</v>
      </c>
      <c r="E616" t="s">
        <v>139</v>
      </c>
      <c r="F616" t="s">
        <v>139</v>
      </c>
      <c r="G616" t="s">
        <v>139</v>
      </c>
      <c r="H616" t="s">
        <v>822</v>
      </c>
      <c r="I616" t="str">
        <f>_xlfn.XLOOKUP(H616,'SO-DIMM-i9'!A:A,'SO-DIMM-i9'!B:B,_xlfn.XLOOKUP(H616,'SO-DIMM-i9'!H:H,'SO-DIMM-i9'!G:G,""))</f>
        <v/>
      </c>
    </row>
    <row r="617" spans="1:9" hidden="1" x14ac:dyDescent="0.25">
      <c r="A617">
        <v>0</v>
      </c>
      <c r="B617" t="s">
        <v>167</v>
      </c>
      <c r="C617" t="s">
        <v>139</v>
      </c>
      <c r="D617" t="s">
        <v>139</v>
      </c>
      <c r="E617" t="s">
        <v>139</v>
      </c>
      <c r="F617" t="s">
        <v>139</v>
      </c>
      <c r="G617" t="s">
        <v>139</v>
      </c>
      <c r="H617" t="s">
        <v>823</v>
      </c>
      <c r="I617" t="str">
        <f>_xlfn.XLOOKUP(H617,'SO-DIMM-i9'!A:A,'SO-DIMM-i9'!B:B,_xlfn.XLOOKUP(H617,'SO-DIMM-i9'!H:H,'SO-DIMM-i9'!G:G,""))</f>
        <v/>
      </c>
    </row>
    <row r="618" spans="1:9" hidden="1" x14ac:dyDescent="0.25">
      <c r="A618">
        <v>0</v>
      </c>
      <c r="B618" t="s">
        <v>167</v>
      </c>
      <c r="C618" t="s">
        <v>139</v>
      </c>
      <c r="D618" t="s">
        <v>139</v>
      </c>
      <c r="E618" t="s">
        <v>139</v>
      </c>
      <c r="F618" t="s">
        <v>139</v>
      </c>
      <c r="G618" t="s">
        <v>139</v>
      </c>
      <c r="H618" t="s">
        <v>824</v>
      </c>
      <c r="I618" t="str">
        <f>_xlfn.XLOOKUP(H618,'SO-DIMM-i9'!A:A,'SO-DIMM-i9'!B:B,_xlfn.XLOOKUP(H618,'SO-DIMM-i9'!H:H,'SO-DIMM-i9'!G:G,""))</f>
        <v/>
      </c>
    </row>
    <row r="619" spans="1:9" hidden="1" x14ac:dyDescent="0.25">
      <c r="A619">
        <v>0</v>
      </c>
      <c r="B619" t="s">
        <v>167</v>
      </c>
      <c r="C619" t="s">
        <v>139</v>
      </c>
      <c r="D619" t="s">
        <v>139</v>
      </c>
      <c r="E619" t="s">
        <v>139</v>
      </c>
      <c r="F619" t="s">
        <v>139</v>
      </c>
      <c r="G619" t="s">
        <v>139</v>
      </c>
      <c r="H619" t="s">
        <v>825</v>
      </c>
      <c r="I619" t="str">
        <f>_xlfn.XLOOKUP(H619,'SO-DIMM-i9'!A:A,'SO-DIMM-i9'!B:B,_xlfn.XLOOKUP(H619,'SO-DIMM-i9'!H:H,'SO-DIMM-i9'!G:G,""))</f>
        <v/>
      </c>
    </row>
    <row r="620" spans="1:9" hidden="1" x14ac:dyDescent="0.25">
      <c r="A620">
        <v>0</v>
      </c>
      <c r="B620" t="s">
        <v>167</v>
      </c>
      <c r="C620" t="s">
        <v>139</v>
      </c>
      <c r="D620" t="s">
        <v>139</v>
      </c>
      <c r="E620" t="s">
        <v>139</v>
      </c>
      <c r="F620" t="s">
        <v>139</v>
      </c>
      <c r="G620" t="s">
        <v>139</v>
      </c>
      <c r="H620" t="s">
        <v>826</v>
      </c>
      <c r="I620" t="str">
        <f>_xlfn.XLOOKUP(H620,'SO-DIMM-i9'!A:A,'SO-DIMM-i9'!B:B,_xlfn.XLOOKUP(H620,'SO-DIMM-i9'!H:H,'SO-DIMM-i9'!G:G,""))</f>
        <v/>
      </c>
    </row>
    <row r="621" spans="1:9" hidden="1" x14ac:dyDescent="0.25">
      <c r="A621">
        <v>0</v>
      </c>
      <c r="B621" t="s">
        <v>167</v>
      </c>
      <c r="C621" t="s">
        <v>139</v>
      </c>
      <c r="D621" t="s">
        <v>139</v>
      </c>
      <c r="E621" t="s">
        <v>139</v>
      </c>
      <c r="F621" t="s">
        <v>139</v>
      </c>
      <c r="G621" t="s">
        <v>139</v>
      </c>
      <c r="H621" t="s">
        <v>827</v>
      </c>
      <c r="I621" t="str">
        <f>_xlfn.XLOOKUP(H621,'SO-DIMM-i9'!A:A,'SO-DIMM-i9'!B:B,_xlfn.XLOOKUP(H621,'SO-DIMM-i9'!H:H,'SO-DIMM-i9'!G:G,""))</f>
        <v/>
      </c>
    </row>
    <row r="622" spans="1:9" hidden="1" x14ac:dyDescent="0.25">
      <c r="A622">
        <v>0</v>
      </c>
      <c r="B622" t="s">
        <v>167</v>
      </c>
      <c r="C622" t="s">
        <v>139</v>
      </c>
      <c r="D622" t="s">
        <v>139</v>
      </c>
      <c r="E622" t="s">
        <v>139</v>
      </c>
      <c r="F622" t="s">
        <v>139</v>
      </c>
      <c r="G622" t="s">
        <v>139</v>
      </c>
      <c r="H622" t="s">
        <v>828</v>
      </c>
      <c r="I622" t="str">
        <f>_xlfn.XLOOKUP(H622,'SO-DIMM-i9'!A:A,'SO-DIMM-i9'!B:B,_xlfn.XLOOKUP(H622,'SO-DIMM-i9'!H:H,'SO-DIMM-i9'!G:G,""))</f>
        <v/>
      </c>
    </row>
    <row r="623" spans="1:9" hidden="1" x14ac:dyDescent="0.25">
      <c r="A623">
        <v>0</v>
      </c>
      <c r="B623" t="s">
        <v>167</v>
      </c>
      <c r="C623" t="s">
        <v>139</v>
      </c>
      <c r="D623" t="s">
        <v>139</v>
      </c>
      <c r="E623" t="s">
        <v>139</v>
      </c>
      <c r="F623" t="s">
        <v>139</v>
      </c>
      <c r="G623" t="s">
        <v>139</v>
      </c>
      <c r="H623" t="s">
        <v>829</v>
      </c>
      <c r="I623" t="str">
        <f>_xlfn.XLOOKUP(H623,'SO-DIMM-i9'!A:A,'SO-DIMM-i9'!B:B,_xlfn.XLOOKUP(H623,'SO-DIMM-i9'!H:H,'SO-DIMM-i9'!G:G,""))</f>
        <v/>
      </c>
    </row>
    <row r="624" spans="1:9" hidden="1" x14ac:dyDescent="0.25">
      <c r="A624">
        <v>0</v>
      </c>
      <c r="B624" t="s">
        <v>167</v>
      </c>
      <c r="C624" t="s">
        <v>139</v>
      </c>
      <c r="D624" t="s">
        <v>139</v>
      </c>
      <c r="E624" t="s">
        <v>139</v>
      </c>
      <c r="F624" t="s">
        <v>139</v>
      </c>
      <c r="G624" t="s">
        <v>139</v>
      </c>
      <c r="H624" t="s">
        <v>830</v>
      </c>
      <c r="I624" t="str">
        <f>_xlfn.XLOOKUP(H624,'SO-DIMM-i9'!A:A,'SO-DIMM-i9'!B:B,_xlfn.XLOOKUP(H624,'SO-DIMM-i9'!H:H,'SO-DIMM-i9'!G:G,""))</f>
        <v/>
      </c>
    </row>
    <row r="625" spans="1:9" hidden="1" x14ac:dyDescent="0.25">
      <c r="A625">
        <v>0</v>
      </c>
      <c r="B625" t="s">
        <v>167</v>
      </c>
      <c r="C625" t="s">
        <v>139</v>
      </c>
      <c r="D625" t="s">
        <v>139</v>
      </c>
      <c r="E625" t="s">
        <v>139</v>
      </c>
      <c r="F625" t="s">
        <v>139</v>
      </c>
      <c r="G625" t="s">
        <v>139</v>
      </c>
      <c r="H625" t="s">
        <v>831</v>
      </c>
      <c r="I625" t="str">
        <f>_xlfn.XLOOKUP(H625,'SO-DIMM-i9'!A:A,'SO-DIMM-i9'!B:B,_xlfn.XLOOKUP(H625,'SO-DIMM-i9'!H:H,'SO-DIMM-i9'!G:G,""))</f>
        <v/>
      </c>
    </row>
    <row r="626" spans="1:9" hidden="1" x14ac:dyDescent="0.25">
      <c r="A626">
        <v>0</v>
      </c>
      <c r="B626" t="s">
        <v>167</v>
      </c>
      <c r="C626" t="s">
        <v>139</v>
      </c>
      <c r="D626" t="s">
        <v>139</v>
      </c>
      <c r="E626" t="s">
        <v>139</v>
      </c>
      <c r="F626" t="s">
        <v>139</v>
      </c>
      <c r="G626" t="s">
        <v>139</v>
      </c>
      <c r="H626" t="s">
        <v>832</v>
      </c>
      <c r="I626" t="str">
        <f>_xlfn.XLOOKUP(H626,'SO-DIMM-i9'!A:A,'SO-DIMM-i9'!B:B,_xlfn.XLOOKUP(H626,'SO-DIMM-i9'!H:H,'SO-DIMM-i9'!G:G,""))</f>
        <v/>
      </c>
    </row>
    <row r="627" spans="1:9" hidden="1" x14ac:dyDescent="0.25">
      <c r="A627">
        <v>0</v>
      </c>
      <c r="B627" t="s">
        <v>167</v>
      </c>
      <c r="C627" t="s">
        <v>139</v>
      </c>
      <c r="D627" t="s">
        <v>139</v>
      </c>
      <c r="E627" t="s">
        <v>139</v>
      </c>
      <c r="F627" t="s">
        <v>139</v>
      </c>
      <c r="G627" t="s">
        <v>139</v>
      </c>
      <c r="H627" t="s">
        <v>833</v>
      </c>
      <c r="I627" t="str">
        <f>_xlfn.XLOOKUP(H627,'SO-DIMM-i9'!A:A,'SO-DIMM-i9'!B:B,_xlfn.XLOOKUP(H627,'SO-DIMM-i9'!H:H,'SO-DIMM-i9'!G:G,""))</f>
        <v/>
      </c>
    </row>
    <row r="628" spans="1:9" hidden="1" x14ac:dyDescent="0.25">
      <c r="A628">
        <v>0</v>
      </c>
      <c r="B628" t="s">
        <v>167</v>
      </c>
      <c r="C628" t="s">
        <v>139</v>
      </c>
      <c r="D628" t="s">
        <v>139</v>
      </c>
      <c r="E628" t="s">
        <v>139</v>
      </c>
      <c r="F628" t="s">
        <v>139</v>
      </c>
      <c r="G628" t="s">
        <v>139</v>
      </c>
      <c r="H628" t="s">
        <v>834</v>
      </c>
      <c r="I628" t="str">
        <f>_xlfn.XLOOKUP(H628,'SO-DIMM-i9'!A:A,'SO-DIMM-i9'!B:B,_xlfn.XLOOKUP(H628,'SO-DIMM-i9'!H:H,'SO-DIMM-i9'!G:G,""))</f>
        <v/>
      </c>
    </row>
    <row r="629" spans="1:9" hidden="1" x14ac:dyDescent="0.25">
      <c r="A629">
        <v>0</v>
      </c>
      <c r="B629" t="s">
        <v>167</v>
      </c>
      <c r="C629" t="s">
        <v>139</v>
      </c>
      <c r="D629" t="s">
        <v>139</v>
      </c>
      <c r="E629" t="s">
        <v>139</v>
      </c>
      <c r="F629" t="s">
        <v>139</v>
      </c>
      <c r="G629" t="s">
        <v>139</v>
      </c>
      <c r="H629" t="s">
        <v>835</v>
      </c>
      <c r="I629" t="str">
        <f>_xlfn.XLOOKUP(H629,'SO-DIMM-i9'!A:A,'SO-DIMM-i9'!B:B,_xlfn.XLOOKUP(H629,'SO-DIMM-i9'!H:H,'SO-DIMM-i9'!G:G,""))</f>
        <v/>
      </c>
    </row>
    <row r="630" spans="1:9" hidden="1" x14ac:dyDescent="0.25">
      <c r="A630">
        <v>0</v>
      </c>
      <c r="B630" t="s">
        <v>167</v>
      </c>
      <c r="C630" t="s">
        <v>139</v>
      </c>
      <c r="D630" t="s">
        <v>139</v>
      </c>
      <c r="E630" t="s">
        <v>139</v>
      </c>
      <c r="F630" t="s">
        <v>139</v>
      </c>
      <c r="G630" t="s">
        <v>139</v>
      </c>
      <c r="H630" t="s">
        <v>836</v>
      </c>
      <c r="I630" t="str">
        <f>_xlfn.XLOOKUP(H630,'SO-DIMM-i9'!A:A,'SO-DIMM-i9'!B:B,_xlfn.XLOOKUP(H630,'SO-DIMM-i9'!H:H,'SO-DIMM-i9'!G:G,""))</f>
        <v/>
      </c>
    </row>
    <row r="631" spans="1:9" hidden="1" x14ac:dyDescent="0.25">
      <c r="A631">
        <v>0</v>
      </c>
      <c r="B631" t="s">
        <v>167</v>
      </c>
      <c r="C631" t="s">
        <v>139</v>
      </c>
      <c r="D631" t="s">
        <v>139</v>
      </c>
      <c r="E631" t="s">
        <v>139</v>
      </c>
      <c r="F631" t="s">
        <v>139</v>
      </c>
      <c r="G631" t="s">
        <v>139</v>
      </c>
      <c r="H631" t="s">
        <v>837</v>
      </c>
      <c r="I631" t="str">
        <f>_xlfn.XLOOKUP(H631,'SO-DIMM-i9'!A:A,'SO-DIMM-i9'!B:B,_xlfn.XLOOKUP(H631,'SO-DIMM-i9'!H:H,'SO-DIMM-i9'!G:G,""))</f>
        <v/>
      </c>
    </row>
    <row r="632" spans="1:9" hidden="1" x14ac:dyDescent="0.25">
      <c r="A632">
        <v>0</v>
      </c>
      <c r="B632" t="s">
        <v>167</v>
      </c>
      <c r="C632" t="s">
        <v>139</v>
      </c>
      <c r="D632" t="s">
        <v>139</v>
      </c>
      <c r="E632" t="s">
        <v>139</v>
      </c>
      <c r="F632" t="s">
        <v>139</v>
      </c>
      <c r="G632" t="s">
        <v>139</v>
      </c>
      <c r="H632" t="s">
        <v>838</v>
      </c>
      <c r="I632" t="str">
        <f>_xlfn.XLOOKUP(H632,'SO-DIMM-i9'!A:A,'SO-DIMM-i9'!B:B,_xlfn.XLOOKUP(H632,'SO-DIMM-i9'!H:H,'SO-DIMM-i9'!G:G,""))</f>
        <v/>
      </c>
    </row>
    <row r="633" spans="1:9" hidden="1" x14ac:dyDescent="0.25">
      <c r="A633">
        <v>0</v>
      </c>
      <c r="B633" t="s">
        <v>167</v>
      </c>
      <c r="C633" t="s">
        <v>139</v>
      </c>
      <c r="D633" t="s">
        <v>139</v>
      </c>
      <c r="E633" t="s">
        <v>139</v>
      </c>
      <c r="F633" t="s">
        <v>139</v>
      </c>
      <c r="G633" t="s">
        <v>139</v>
      </c>
      <c r="H633" t="s">
        <v>839</v>
      </c>
      <c r="I633" t="str">
        <f>_xlfn.XLOOKUP(H633,'SO-DIMM-i9'!A:A,'SO-DIMM-i9'!B:B,_xlfn.XLOOKUP(H633,'SO-DIMM-i9'!H:H,'SO-DIMM-i9'!G:G,""))</f>
        <v/>
      </c>
    </row>
    <row r="634" spans="1:9" hidden="1" x14ac:dyDescent="0.25">
      <c r="A634">
        <v>0</v>
      </c>
      <c r="B634" t="s">
        <v>167</v>
      </c>
      <c r="C634" t="s">
        <v>139</v>
      </c>
      <c r="D634" t="s">
        <v>139</v>
      </c>
      <c r="E634" t="s">
        <v>139</v>
      </c>
      <c r="F634" t="s">
        <v>139</v>
      </c>
      <c r="G634" t="s">
        <v>139</v>
      </c>
      <c r="H634" t="s">
        <v>840</v>
      </c>
      <c r="I634" t="str">
        <f>_xlfn.XLOOKUP(H634,'SO-DIMM-i9'!A:A,'SO-DIMM-i9'!B:B,_xlfn.XLOOKUP(H634,'SO-DIMM-i9'!H:H,'SO-DIMM-i9'!G:G,""))</f>
        <v/>
      </c>
    </row>
    <row r="635" spans="1:9" hidden="1" x14ac:dyDescent="0.25">
      <c r="A635">
        <v>0</v>
      </c>
      <c r="B635" t="s">
        <v>167</v>
      </c>
      <c r="C635" t="s">
        <v>139</v>
      </c>
      <c r="D635" t="s">
        <v>139</v>
      </c>
      <c r="E635" t="s">
        <v>139</v>
      </c>
      <c r="F635" t="s">
        <v>139</v>
      </c>
      <c r="G635" t="s">
        <v>139</v>
      </c>
      <c r="H635" t="s">
        <v>139</v>
      </c>
    </row>
    <row r="636" spans="1:9" hidden="1" x14ac:dyDescent="0.25">
      <c r="A636">
        <v>0</v>
      </c>
      <c r="B636" t="s">
        <v>167</v>
      </c>
      <c r="C636" t="s">
        <v>139</v>
      </c>
      <c r="D636" t="s">
        <v>139</v>
      </c>
      <c r="E636" t="s">
        <v>139</v>
      </c>
      <c r="F636" t="s">
        <v>139</v>
      </c>
      <c r="G636" t="s">
        <v>139</v>
      </c>
      <c r="H636" t="s">
        <v>139</v>
      </c>
    </row>
    <row r="637" spans="1:9" hidden="1" x14ac:dyDescent="0.25">
      <c r="A637">
        <v>0</v>
      </c>
      <c r="B637" t="s">
        <v>167</v>
      </c>
      <c r="C637" t="s">
        <v>139</v>
      </c>
      <c r="D637" t="s">
        <v>139</v>
      </c>
      <c r="E637" t="s">
        <v>139</v>
      </c>
      <c r="F637" t="s">
        <v>139</v>
      </c>
      <c r="G637" t="s">
        <v>139</v>
      </c>
      <c r="H637" t="s">
        <v>139</v>
      </c>
    </row>
    <row r="638" spans="1:9" hidden="1" x14ac:dyDescent="0.25">
      <c r="A638">
        <v>0</v>
      </c>
      <c r="B638" t="s">
        <v>167</v>
      </c>
      <c r="C638" t="s">
        <v>139</v>
      </c>
      <c r="D638" t="s">
        <v>139</v>
      </c>
      <c r="E638" t="s">
        <v>139</v>
      </c>
      <c r="F638" t="s">
        <v>139</v>
      </c>
      <c r="G638" t="s">
        <v>139</v>
      </c>
      <c r="H638" t="s">
        <v>139</v>
      </c>
    </row>
    <row r="639" spans="1:9" hidden="1" x14ac:dyDescent="0.25">
      <c r="A639">
        <v>0</v>
      </c>
      <c r="B639" t="s">
        <v>167</v>
      </c>
      <c r="C639" t="s">
        <v>139</v>
      </c>
      <c r="D639" t="s">
        <v>139</v>
      </c>
      <c r="E639" t="s">
        <v>139</v>
      </c>
      <c r="F639" t="s">
        <v>139</v>
      </c>
      <c r="G639" t="s">
        <v>139</v>
      </c>
      <c r="H639" t="s">
        <v>139</v>
      </c>
    </row>
    <row r="640" spans="1:9" hidden="1" x14ac:dyDescent="0.25">
      <c r="A640">
        <v>0</v>
      </c>
      <c r="B640" t="s">
        <v>167</v>
      </c>
      <c r="C640" t="s">
        <v>139</v>
      </c>
      <c r="D640" t="s">
        <v>139</v>
      </c>
      <c r="E640" t="s">
        <v>139</v>
      </c>
      <c r="F640" t="s">
        <v>139</v>
      </c>
      <c r="G640" t="s">
        <v>139</v>
      </c>
      <c r="H640" t="s">
        <v>139</v>
      </c>
    </row>
    <row r="641" spans="1:9" hidden="1" x14ac:dyDescent="0.25">
      <c r="A641">
        <v>0</v>
      </c>
      <c r="B641" t="s">
        <v>167</v>
      </c>
      <c r="C641" t="s">
        <v>139</v>
      </c>
      <c r="D641" t="s">
        <v>139</v>
      </c>
      <c r="E641" t="s">
        <v>139</v>
      </c>
      <c r="F641" t="s">
        <v>139</v>
      </c>
      <c r="G641" t="s">
        <v>139</v>
      </c>
      <c r="H641" t="s">
        <v>139</v>
      </c>
    </row>
    <row r="642" spans="1:9" hidden="1" x14ac:dyDescent="0.25">
      <c r="A642">
        <v>0</v>
      </c>
      <c r="B642" t="s">
        <v>167</v>
      </c>
      <c r="C642" t="s">
        <v>139</v>
      </c>
      <c r="D642" t="s">
        <v>139</v>
      </c>
      <c r="E642" t="s">
        <v>139</v>
      </c>
      <c r="F642" t="s">
        <v>139</v>
      </c>
      <c r="G642" t="s">
        <v>139</v>
      </c>
      <c r="H642" t="s">
        <v>139</v>
      </c>
    </row>
    <row r="643" spans="1:9" hidden="1" x14ac:dyDescent="0.25">
      <c r="A643">
        <v>0</v>
      </c>
      <c r="B643" t="s">
        <v>156</v>
      </c>
      <c r="C643" t="s">
        <v>139</v>
      </c>
      <c r="D643" t="s">
        <v>139</v>
      </c>
      <c r="E643" t="s">
        <v>139</v>
      </c>
      <c r="F643" t="s">
        <v>139</v>
      </c>
      <c r="G643" t="s">
        <v>139</v>
      </c>
      <c r="H643" t="s">
        <v>841</v>
      </c>
      <c r="I643" t="str">
        <f>_xlfn.XLOOKUP(H643,'SO-DIMM-i9'!A:A,'SO-DIMM-i9'!B:B,_xlfn.XLOOKUP(H643,'SO-DIMM-i9'!H:H,'SO-DIMM-i9'!G:G,""))</f>
        <v/>
      </c>
    </row>
    <row r="644" spans="1:9" hidden="1" x14ac:dyDescent="0.25">
      <c r="A644">
        <v>0</v>
      </c>
      <c r="B644" t="s">
        <v>156</v>
      </c>
      <c r="C644" t="s">
        <v>139</v>
      </c>
      <c r="D644" t="s">
        <v>139</v>
      </c>
      <c r="E644" t="s">
        <v>139</v>
      </c>
      <c r="F644" t="s">
        <v>139</v>
      </c>
      <c r="G644" t="s">
        <v>139</v>
      </c>
      <c r="H644" t="s">
        <v>842</v>
      </c>
      <c r="I644" t="str">
        <f>_xlfn.XLOOKUP(H644,'SO-DIMM-i9'!A:A,'SO-DIMM-i9'!B:B,_xlfn.XLOOKUP(H644,'SO-DIMM-i9'!H:H,'SO-DIMM-i9'!G:G,""))</f>
        <v/>
      </c>
    </row>
    <row r="645" spans="1:9" hidden="1" x14ac:dyDescent="0.25">
      <c r="A645">
        <v>0</v>
      </c>
      <c r="B645" t="s">
        <v>156</v>
      </c>
      <c r="C645" t="s">
        <v>139</v>
      </c>
      <c r="D645" t="s">
        <v>139</v>
      </c>
      <c r="E645" t="s">
        <v>139</v>
      </c>
      <c r="F645" t="s">
        <v>139</v>
      </c>
      <c r="G645" t="s">
        <v>139</v>
      </c>
      <c r="H645" t="s">
        <v>843</v>
      </c>
      <c r="I645" t="str">
        <f>_xlfn.XLOOKUP(H645,'SO-DIMM-i9'!A:A,'SO-DIMM-i9'!B:B,_xlfn.XLOOKUP(H645,'SO-DIMM-i9'!H:H,'SO-DIMM-i9'!G:G,""))</f>
        <v/>
      </c>
    </row>
    <row r="646" spans="1:9" hidden="1" x14ac:dyDescent="0.25">
      <c r="A646">
        <v>0</v>
      </c>
      <c r="B646" t="s">
        <v>156</v>
      </c>
      <c r="C646" t="s">
        <v>139</v>
      </c>
      <c r="D646" t="s">
        <v>139</v>
      </c>
      <c r="E646" t="s">
        <v>139</v>
      </c>
      <c r="F646" t="s">
        <v>139</v>
      </c>
      <c r="G646" t="s">
        <v>139</v>
      </c>
      <c r="H646" t="s">
        <v>844</v>
      </c>
      <c r="I646" t="str">
        <f>_xlfn.XLOOKUP(H646,'SO-DIMM-i9'!A:A,'SO-DIMM-i9'!B:B,_xlfn.XLOOKUP(H646,'SO-DIMM-i9'!H:H,'SO-DIMM-i9'!G:G,""))</f>
        <v/>
      </c>
    </row>
    <row r="647" spans="1:9" hidden="1" x14ac:dyDescent="0.25">
      <c r="A647">
        <v>0</v>
      </c>
      <c r="B647" t="s">
        <v>156</v>
      </c>
      <c r="C647" t="s">
        <v>139</v>
      </c>
      <c r="D647" t="s">
        <v>139</v>
      </c>
      <c r="E647" t="s">
        <v>139</v>
      </c>
      <c r="F647" t="s">
        <v>139</v>
      </c>
      <c r="G647" t="s">
        <v>139</v>
      </c>
      <c r="H647" t="s">
        <v>139</v>
      </c>
    </row>
    <row r="648" spans="1:9" hidden="1" x14ac:dyDescent="0.25">
      <c r="A648">
        <v>0</v>
      </c>
      <c r="B648" t="s">
        <v>156</v>
      </c>
      <c r="C648" t="s">
        <v>139</v>
      </c>
      <c r="D648" t="s">
        <v>139</v>
      </c>
      <c r="E648" t="s">
        <v>139</v>
      </c>
      <c r="F648" t="s">
        <v>139</v>
      </c>
      <c r="G648" t="s">
        <v>139</v>
      </c>
      <c r="H648" t="s">
        <v>139</v>
      </c>
    </row>
    <row r="649" spans="1:9" hidden="1" x14ac:dyDescent="0.25">
      <c r="A649">
        <v>0</v>
      </c>
      <c r="B649" t="s">
        <v>156</v>
      </c>
      <c r="C649" t="s">
        <v>139</v>
      </c>
      <c r="D649" t="s">
        <v>139</v>
      </c>
      <c r="E649" t="s">
        <v>139</v>
      </c>
      <c r="F649" t="s">
        <v>139</v>
      </c>
      <c r="G649" t="s">
        <v>139</v>
      </c>
      <c r="H649" t="s">
        <v>139</v>
      </c>
    </row>
    <row r="650" spans="1:9" hidden="1" x14ac:dyDescent="0.25">
      <c r="A650">
        <v>0</v>
      </c>
      <c r="B650" t="s">
        <v>156</v>
      </c>
      <c r="C650" t="s">
        <v>139</v>
      </c>
      <c r="D650" t="s">
        <v>139</v>
      </c>
      <c r="E650" t="s">
        <v>139</v>
      </c>
      <c r="F650" t="s">
        <v>139</v>
      </c>
      <c r="G650" t="s">
        <v>139</v>
      </c>
      <c r="H650" t="s">
        <v>139</v>
      </c>
    </row>
    <row r="651" spans="1:9" hidden="1" x14ac:dyDescent="0.25">
      <c r="A651">
        <v>0</v>
      </c>
      <c r="B651" t="s">
        <v>156</v>
      </c>
      <c r="C651" t="s">
        <v>139</v>
      </c>
      <c r="D651" t="s">
        <v>139</v>
      </c>
      <c r="E651" t="s">
        <v>139</v>
      </c>
      <c r="F651" t="s">
        <v>139</v>
      </c>
      <c r="G651" t="s">
        <v>139</v>
      </c>
      <c r="H651" t="s">
        <v>139</v>
      </c>
    </row>
    <row r="652" spans="1:9" hidden="1" x14ac:dyDescent="0.25">
      <c r="A652">
        <v>0</v>
      </c>
      <c r="B652" t="s">
        <v>156</v>
      </c>
      <c r="C652" t="s">
        <v>139</v>
      </c>
      <c r="D652" t="s">
        <v>139</v>
      </c>
      <c r="E652" t="s">
        <v>139</v>
      </c>
      <c r="F652" t="s">
        <v>139</v>
      </c>
      <c r="G652" t="s">
        <v>139</v>
      </c>
      <c r="H652" t="s">
        <v>139</v>
      </c>
    </row>
    <row r="653" spans="1:9" hidden="1" x14ac:dyDescent="0.25">
      <c r="A653">
        <v>0</v>
      </c>
      <c r="B653" t="s">
        <v>156</v>
      </c>
      <c r="C653" t="s">
        <v>139</v>
      </c>
      <c r="D653" t="s">
        <v>139</v>
      </c>
      <c r="E653" t="s">
        <v>139</v>
      </c>
      <c r="F653" t="s">
        <v>139</v>
      </c>
      <c r="G653" t="s">
        <v>139</v>
      </c>
      <c r="H653" t="s">
        <v>139</v>
      </c>
    </row>
    <row r="654" spans="1:9" hidden="1" x14ac:dyDescent="0.25">
      <c r="A654">
        <v>0</v>
      </c>
      <c r="B654" t="s">
        <v>156</v>
      </c>
      <c r="C654" t="s">
        <v>139</v>
      </c>
      <c r="D654" t="s">
        <v>139</v>
      </c>
      <c r="E654" t="s">
        <v>139</v>
      </c>
      <c r="F654" t="s">
        <v>139</v>
      </c>
      <c r="G654" t="s">
        <v>139</v>
      </c>
      <c r="H654" t="s">
        <v>139</v>
      </c>
    </row>
    <row r="655" spans="1:9" hidden="1" x14ac:dyDescent="0.25">
      <c r="A655">
        <v>0</v>
      </c>
      <c r="B655" t="s">
        <v>156</v>
      </c>
      <c r="C655" t="s">
        <v>139</v>
      </c>
      <c r="D655" t="s">
        <v>139</v>
      </c>
      <c r="E655" t="s">
        <v>139</v>
      </c>
      <c r="F655" t="s">
        <v>139</v>
      </c>
      <c r="G655" t="s">
        <v>139</v>
      </c>
      <c r="H655" t="s">
        <v>139</v>
      </c>
    </row>
    <row r="656" spans="1:9" hidden="1" x14ac:dyDescent="0.25">
      <c r="A656">
        <v>0</v>
      </c>
      <c r="B656" t="s">
        <v>156</v>
      </c>
      <c r="C656" t="s">
        <v>139</v>
      </c>
      <c r="D656" t="s">
        <v>139</v>
      </c>
      <c r="E656" t="s">
        <v>139</v>
      </c>
      <c r="F656" t="s">
        <v>139</v>
      </c>
      <c r="G656" t="s">
        <v>139</v>
      </c>
      <c r="H656" t="s">
        <v>139</v>
      </c>
    </row>
    <row r="657" spans="1:9" hidden="1" x14ac:dyDescent="0.25">
      <c r="A657">
        <v>0</v>
      </c>
      <c r="B657" t="s">
        <v>156</v>
      </c>
      <c r="C657" t="s">
        <v>139</v>
      </c>
      <c r="D657" t="s">
        <v>139</v>
      </c>
      <c r="E657" t="s">
        <v>139</v>
      </c>
      <c r="F657" t="s">
        <v>139</v>
      </c>
      <c r="G657" t="s">
        <v>139</v>
      </c>
      <c r="H657" t="s">
        <v>139</v>
      </c>
    </row>
    <row r="658" spans="1:9" hidden="1" x14ac:dyDescent="0.25">
      <c r="A658">
        <v>0</v>
      </c>
      <c r="B658" t="s">
        <v>156</v>
      </c>
      <c r="C658" t="s">
        <v>139</v>
      </c>
      <c r="D658" t="s">
        <v>139</v>
      </c>
      <c r="E658" t="s">
        <v>139</v>
      </c>
      <c r="F658" t="s">
        <v>139</v>
      </c>
      <c r="G658" t="s">
        <v>139</v>
      </c>
      <c r="H658" t="s">
        <v>139</v>
      </c>
    </row>
    <row r="659" spans="1:9" hidden="1" x14ac:dyDescent="0.25">
      <c r="A659">
        <v>0</v>
      </c>
      <c r="B659" t="s">
        <v>156</v>
      </c>
      <c r="C659" t="s">
        <v>139</v>
      </c>
      <c r="D659" t="s">
        <v>139</v>
      </c>
      <c r="E659" t="s">
        <v>139</v>
      </c>
      <c r="F659" t="s">
        <v>139</v>
      </c>
      <c r="G659" t="s">
        <v>139</v>
      </c>
      <c r="H659" t="s">
        <v>139</v>
      </c>
    </row>
    <row r="660" spans="1:9" hidden="1" x14ac:dyDescent="0.25">
      <c r="A660">
        <v>0</v>
      </c>
      <c r="B660" t="s">
        <v>156</v>
      </c>
      <c r="C660" t="s">
        <v>139</v>
      </c>
      <c r="D660" t="s">
        <v>139</v>
      </c>
      <c r="E660" t="s">
        <v>139</v>
      </c>
      <c r="F660" t="s">
        <v>139</v>
      </c>
      <c r="G660" t="s">
        <v>139</v>
      </c>
      <c r="H660" t="s">
        <v>139</v>
      </c>
    </row>
    <row r="661" spans="1:9" hidden="1" x14ac:dyDescent="0.25">
      <c r="A661">
        <v>0</v>
      </c>
      <c r="B661" t="s">
        <v>156</v>
      </c>
      <c r="C661" t="s">
        <v>139</v>
      </c>
      <c r="D661" t="s">
        <v>139</v>
      </c>
      <c r="E661" t="s">
        <v>139</v>
      </c>
      <c r="F661" t="s">
        <v>139</v>
      </c>
      <c r="G661" t="s">
        <v>139</v>
      </c>
      <c r="H661" t="s">
        <v>139</v>
      </c>
    </row>
    <row r="662" spans="1:9" hidden="1" x14ac:dyDescent="0.25">
      <c r="A662">
        <v>0</v>
      </c>
      <c r="B662" t="s">
        <v>156</v>
      </c>
      <c r="C662" t="s">
        <v>139</v>
      </c>
      <c r="D662" t="s">
        <v>139</v>
      </c>
      <c r="E662" t="s">
        <v>139</v>
      </c>
      <c r="F662" t="s">
        <v>139</v>
      </c>
      <c r="G662" t="s">
        <v>139</v>
      </c>
      <c r="H662" t="s">
        <v>139</v>
      </c>
    </row>
    <row r="663" spans="1:9" hidden="1" x14ac:dyDescent="0.25">
      <c r="A663">
        <v>0</v>
      </c>
      <c r="B663" t="s">
        <v>156</v>
      </c>
      <c r="C663" t="s">
        <v>139</v>
      </c>
      <c r="D663" t="s">
        <v>139</v>
      </c>
      <c r="E663" t="s">
        <v>139</v>
      </c>
      <c r="F663" t="s">
        <v>139</v>
      </c>
      <c r="G663" t="s">
        <v>139</v>
      </c>
      <c r="H663" t="s">
        <v>139</v>
      </c>
    </row>
    <row r="664" spans="1:9" hidden="1" x14ac:dyDescent="0.25">
      <c r="A664">
        <v>0</v>
      </c>
      <c r="B664" t="s">
        <v>156</v>
      </c>
      <c r="C664" t="s">
        <v>139</v>
      </c>
      <c r="D664" t="s">
        <v>139</v>
      </c>
      <c r="E664" t="s">
        <v>139</v>
      </c>
      <c r="F664" t="s">
        <v>139</v>
      </c>
      <c r="G664" t="s">
        <v>139</v>
      </c>
      <c r="H664" t="s">
        <v>139</v>
      </c>
    </row>
    <row r="665" spans="1:9" hidden="1" x14ac:dyDescent="0.25">
      <c r="A665">
        <v>0</v>
      </c>
      <c r="B665" t="s">
        <v>156</v>
      </c>
      <c r="C665" t="s">
        <v>139</v>
      </c>
      <c r="D665" t="s">
        <v>139</v>
      </c>
      <c r="E665" t="s">
        <v>139</v>
      </c>
      <c r="F665" t="s">
        <v>139</v>
      </c>
      <c r="G665" t="s">
        <v>139</v>
      </c>
      <c r="H665" t="s">
        <v>139</v>
      </c>
    </row>
    <row r="666" spans="1:9" hidden="1" x14ac:dyDescent="0.25">
      <c r="A666">
        <v>0</v>
      </c>
      <c r="B666" t="s">
        <v>156</v>
      </c>
      <c r="C666" t="s">
        <v>139</v>
      </c>
      <c r="D666" t="s">
        <v>139</v>
      </c>
      <c r="E666" t="s">
        <v>139</v>
      </c>
      <c r="F666" t="s">
        <v>139</v>
      </c>
      <c r="G666" t="s">
        <v>139</v>
      </c>
      <c r="H666" t="s">
        <v>139</v>
      </c>
    </row>
    <row r="667" spans="1:9" hidden="1" x14ac:dyDescent="0.25">
      <c r="A667">
        <v>0</v>
      </c>
      <c r="B667" t="s">
        <v>156</v>
      </c>
      <c r="C667" t="s">
        <v>139</v>
      </c>
      <c r="D667" t="s">
        <v>139</v>
      </c>
      <c r="E667" t="s">
        <v>139</v>
      </c>
      <c r="F667" t="s">
        <v>139</v>
      </c>
      <c r="G667" t="s">
        <v>139</v>
      </c>
      <c r="H667" t="s">
        <v>139</v>
      </c>
    </row>
    <row r="668" spans="1:9" hidden="1" x14ac:dyDescent="0.25">
      <c r="A668">
        <v>0</v>
      </c>
      <c r="B668" t="s">
        <v>156</v>
      </c>
      <c r="C668" t="s">
        <v>139</v>
      </c>
      <c r="D668" t="s">
        <v>139</v>
      </c>
      <c r="E668" t="s">
        <v>139</v>
      </c>
      <c r="F668" t="s">
        <v>139</v>
      </c>
      <c r="G668" t="s">
        <v>139</v>
      </c>
      <c r="H668" t="s">
        <v>139</v>
      </c>
    </row>
    <row r="669" spans="1:9" hidden="1" x14ac:dyDescent="0.25">
      <c r="A669">
        <v>0</v>
      </c>
      <c r="B669" t="s">
        <v>156</v>
      </c>
      <c r="C669" t="s">
        <v>139</v>
      </c>
      <c r="D669" t="s">
        <v>139</v>
      </c>
      <c r="E669" t="s">
        <v>139</v>
      </c>
      <c r="F669" t="s">
        <v>139</v>
      </c>
      <c r="G669" t="s">
        <v>139</v>
      </c>
      <c r="H669" t="s">
        <v>139</v>
      </c>
    </row>
    <row r="670" spans="1:9" hidden="1" x14ac:dyDescent="0.25">
      <c r="A670">
        <v>0</v>
      </c>
      <c r="B670" t="s">
        <v>156</v>
      </c>
      <c r="C670" t="s">
        <v>139</v>
      </c>
      <c r="D670" t="s">
        <v>139</v>
      </c>
      <c r="E670" t="s">
        <v>139</v>
      </c>
      <c r="F670" t="s">
        <v>139</v>
      </c>
      <c r="G670" t="s">
        <v>139</v>
      </c>
      <c r="H670" t="s">
        <v>139</v>
      </c>
    </row>
    <row r="671" spans="1:9" hidden="1" x14ac:dyDescent="0.25">
      <c r="A671">
        <v>0</v>
      </c>
      <c r="B671" t="s">
        <v>687</v>
      </c>
      <c r="C671">
        <v>0</v>
      </c>
      <c r="D671" t="s">
        <v>139</v>
      </c>
      <c r="E671" t="s">
        <v>139</v>
      </c>
      <c r="F671" t="s">
        <v>139</v>
      </c>
      <c r="G671" t="s">
        <v>139</v>
      </c>
      <c r="H671" t="s">
        <v>845</v>
      </c>
      <c r="I671" t="str">
        <f>_xlfn.XLOOKUP(H671,'SO-DIMM-i9'!A:A,'SO-DIMM-i9'!B:B,_xlfn.XLOOKUP(H671,'SO-DIMM-i9'!H:H,'SO-DIMM-i9'!G:G,""))</f>
        <v/>
      </c>
    </row>
    <row r="672" spans="1:9" hidden="1" x14ac:dyDescent="0.25">
      <c r="A672">
        <v>0</v>
      </c>
      <c r="B672" t="s">
        <v>687</v>
      </c>
      <c r="C672">
        <v>0</v>
      </c>
      <c r="D672" t="s">
        <v>139</v>
      </c>
      <c r="E672" t="s">
        <v>139</v>
      </c>
      <c r="F672" t="s">
        <v>139</v>
      </c>
      <c r="G672" t="s">
        <v>139</v>
      </c>
      <c r="H672" t="s">
        <v>846</v>
      </c>
      <c r="I672" t="str">
        <f>_xlfn.XLOOKUP(H672,'SO-DIMM-i9'!A:A,'SO-DIMM-i9'!B:B,_xlfn.XLOOKUP(H672,'SO-DIMM-i9'!H:H,'SO-DIMM-i9'!G:G,""))</f>
        <v/>
      </c>
    </row>
    <row r="673" spans="1:9" hidden="1" x14ac:dyDescent="0.25">
      <c r="A673">
        <v>0</v>
      </c>
      <c r="B673" t="s">
        <v>687</v>
      </c>
      <c r="C673">
        <v>0</v>
      </c>
      <c r="D673" t="s">
        <v>139</v>
      </c>
      <c r="E673" t="s">
        <v>139</v>
      </c>
      <c r="F673" t="s">
        <v>139</v>
      </c>
      <c r="G673" t="s">
        <v>139</v>
      </c>
      <c r="H673" t="s">
        <v>139</v>
      </c>
    </row>
    <row r="674" spans="1:9" hidden="1" x14ac:dyDescent="0.25">
      <c r="A674">
        <v>0</v>
      </c>
      <c r="B674" t="s">
        <v>687</v>
      </c>
      <c r="C674">
        <v>0</v>
      </c>
      <c r="D674" t="s">
        <v>139</v>
      </c>
      <c r="E674" t="s">
        <v>139</v>
      </c>
      <c r="F674" t="s">
        <v>139</v>
      </c>
      <c r="G674" t="s">
        <v>139</v>
      </c>
      <c r="H674" t="s">
        <v>139</v>
      </c>
    </row>
    <row r="675" spans="1:9" hidden="1" x14ac:dyDescent="0.25">
      <c r="A675">
        <v>0</v>
      </c>
      <c r="B675" t="s">
        <v>687</v>
      </c>
      <c r="C675">
        <v>0</v>
      </c>
      <c r="D675" t="s">
        <v>139</v>
      </c>
      <c r="E675" t="s">
        <v>139</v>
      </c>
      <c r="F675" t="s">
        <v>139</v>
      </c>
      <c r="G675" t="s">
        <v>139</v>
      </c>
      <c r="H675" t="s">
        <v>139</v>
      </c>
    </row>
    <row r="676" spans="1:9" hidden="1" x14ac:dyDescent="0.25">
      <c r="A676">
        <v>0</v>
      </c>
      <c r="B676" t="s">
        <v>687</v>
      </c>
      <c r="C676">
        <v>0</v>
      </c>
      <c r="D676" t="s">
        <v>139</v>
      </c>
      <c r="E676" t="s">
        <v>139</v>
      </c>
      <c r="F676" t="s">
        <v>139</v>
      </c>
      <c r="G676" t="s">
        <v>139</v>
      </c>
      <c r="H676" t="s">
        <v>139</v>
      </c>
    </row>
    <row r="677" spans="1:9" hidden="1" x14ac:dyDescent="0.25">
      <c r="A677">
        <v>0</v>
      </c>
      <c r="B677" t="s">
        <v>588</v>
      </c>
      <c r="C677">
        <v>1</v>
      </c>
      <c r="D677" t="s">
        <v>139</v>
      </c>
      <c r="E677" t="s">
        <v>139</v>
      </c>
      <c r="F677" t="s">
        <v>139</v>
      </c>
      <c r="G677" t="s">
        <v>139</v>
      </c>
      <c r="H677" t="s">
        <v>847</v>
      </c>
      <c r="I677" t="str">
        <f>_xlfn.XLOOKUP(H677,'SO-DIMM-i9'!A:A,'SO-DIMM-i9'!B:B,_xlfn.XLOOKUP(H677,'SO-DIMM-i9'!H:H,'SO-DIMM-i9'!G:G,""))</f>
        <v/>
      </c>
    </row>
    <row r="678" spans="1:9" hidden="1" x14ac:dyDescent="0.25">
      <c r="A678">
        <v>0</v>
      </c>
      <c r="B678" t="s">
        <v>588</v>
      </c>
      <c r="C678">
        <v>1</v>
      </c>
      <c r="D678" t="s">
        <v>139</v>
      </c>
      <c r="E678" t="s">
        <v>139</v>
      </c>
      <c r="F678" t="s">
        <v>139</v>
      </c>
      <c r="G678" t="s">
        <v>139</v>
      </c>
      <c r="H678" t="s">
        <v>848</v>
      </c>
      <c r="I678" t="str">
        <f>_xlfn.XLOOKUP(H678,'SO-DIMM-i9'!A:A,'SO-DIMM-i9'!B:B,_xlfn.XLOOKUP(H678,'SO-DIMM-i9'!H:H,'SO-DIMM-i9'!G:G,""))</f>
        <v/>
      </c>
    </row>
    <row r="679" spans="1:9" hidden="1" x14ac:dyDescent="0.25">
      <c r="A679">
        <v>0</v>
      </c>
      <c r="B679" t="s">
        <v>588</v>
      </c>
      <c r="C679">
        <v>1</v>
      </c>
      <c r="D679" t="s">
        <v>139</v>
      </c>
      <c r="E679" t="s">
        <v>139</v>
      </c>
      <c r="F679" t="s">
        <v>139</v>
      </c>
      <c r="G679" t="s">
        <v>139</v>
      </c>
      <c r="H679" t="s">
        <v>139</v>
      </c>
    </row>
    <row r="680" spans="1:9" hidden="1" x14ac:dyDescent="0.25">
      <c r="A680">
        <v>0</v>
      </c>
      <c r="B680" t="s">
        <v>588</v>
      </c>
      <c r="C680">
        <v>1</v>
      </c>
      <c r="D680" t="s">
        <v>139</v>
      </c>
      <c r="E680" t="s">
        <v>139</v>
      </c>
      <c r="F680" t="s">
        <v>139</v>
      </c>
      <c r="G680" t="s">
        <v>139</v>
      </c>
      <c r="H680" t="s">
        <v>139</v>
      </c>
    </row>
    <row r="681" spans="1:9" hidden="1" x14ac:dyDescent="0.25">
      <c r="A681">
        <v>0</v>
      </c>
      <c r="B681" t="s">
        <v>588</v>
      </c>
      <c r="C681">
        <v>1</v>
      </c>
      <c r="D681" t="s">
        <v>139</v>
      </c>
      <c r="E681" t="s">
        <v>139</v>
      </c>
      <c r="F681" t="s">
        <v>139</v>
      </c>
      <c r="G681" t="s">
        <v>139</v>
      </c>
      <c r="H681" t="s">
        <v>139</v>
      </c>
    </row>
    <row r="682" spans="1:9" hidden="1" x14ac:dyDescent="0.25">
      <c r="A682">
        <v>0</v>
      </c>
      <c r="B682" t="s">
        <v>588</v>
      </c>
      <c r="C682">
        <v>1</v>
      </c>
      <c r="D682" t="s">
        <v>139</v>
      </c>
      <c r="E682" t="s">
        <v>139</v>
      </c>
      <c r="F682" t="s">
        <v>139</v>
      </c>
      <c r="G682" t="s">
        <v>139</v>
      </c>
      <c r="H682" t="s">
        <v>139</v>
      </c>
    </row>
    <row r="683" spans="1:9" hidden="1" x14ac:dyDescent="0.25">
      <c r="A683">
        <v>0</v>
      </c>
      <c r="B683" t="s">
        <v>510</v>
      </c>
      <c r="C683">
        <v>2</v>
      </c>
      <c r="D683" t="s">
        <v>139</v>
      </c>
      <c r="E683" t="s">
        <v>139</v>
      </c>
      <c r="F683" t="s">
        <v>139</v>
      </c>
      <c r="G683" t="s">
        <v>139</v>
      </c>
      <c r="H683" t="s">
        <v>849</v>
      </c>
      <c r="I683" t="str">
        <f>_xlfn.XLOOKUP(H683,'SO-DIMM-i9'!A:A,'SO-DIMM-i9'!B:B,_xlfn.XLOOKUP(H683,'SO-DIMM-i9'!H:H,'SO-DIMM-i9'!G:G,""))</f>
        <v/>
      </c>
    </row>
    <row r="684" spans="1:9" hidden="1" x14ac:dyDescent="0.25">
      <c r="A684">
        <v>0</v>
      </c>
      <c r="B684" t="s">
        <v>510</v>
      </c>
      <c r="C684">
        <v>2</v>
      </c>
      <c r="D684" t="s">
        <v>139</v>
      </c>
      <c r="E684" t="s">
        <v>139</v>
      </c>
      <c r="F684" t="s">
        <v>139</v>
      </c>
      <c r="G684" t="s">
        <v>139</v>
      </c>
      <c r="H684" t="s">
        <v>850</v>
      </c>
      <c r="I684" t="str">
        <f>_xlfn.XLOOKUP(H684,'SO-DIMM-i9'!A:A,'SO-DIMM-i9'!B:B,_xlfn.XLOOKUP(H684,'SO-DIMM-i9'!H:H,'SO-DIMM-i9'!G:G,""))</f>
        <v/>
      </c>
    </row>
    <row r="685" spans="1:9" hidden="1" x14ac:dyDescent="0.25">
      <c r="A685">
        <v>0</v>
      </c>
      <c r="B685" t="s">
        <v>510</v>
      </c>
      <c r="C685">
        <v>2</v>
      </c>
      <c r="D685" t="s">
        <v>139</v>
      </c>
      <c r="E685" t="s">
        <v>139</v>
      </c>
      <c r="F685" t="s">
        <v>139</v>
      </c>
      <c r="G685" t="s">
        <v>139</v>
      </c>
      <c r="H685" t="s">
        <v>851</v>
      </c>
      <c r="I685" t="str">
        <f>_xlfn.XLOOKUP(H685,'SO-DIMM-i9'!A:A,'SO-DIMM-i9'!B:B,_xlfn.XLOOKUP(H685,'SO-DIMM-i9'!H:H,'SO-DIMM-i9'!G:G,""))</f>
        <v/>
      </c>
    </row>
    <row r="686" spans="1:9" hidden="1" x14ac:dyDescent="0.25">
      <c r="A686">
        <v>0</v>
      </c>
      <c r="B686" t="s">
        <v>510</v>
      </c>
      <c r="C686">
        <v>2</v>
      </c>
      <c r="D686" t="s">
        <v>139</v>
      </c>
      <c r="E686" t="s">
        <v>139</v>
      </c>
      <c r="F686" t="s">
        <v>139</v>
      </c>
      <c r="G686" t="s">
        <v>139</v>
      </c>
      <c r="H686" t="s">
        <v>139</v>
      </c>
    </row>
    <row r="687" spans="1:9" hidden="1" x14ac:dyDescent="0.25">
      <c r="A687">
        <v>0</v>
      </c>
      <c r="B687" t="s">
        <v>510</v>
      </c>
      <c r="C687">
        <v>2</v>
      </c>
      <c r="D687" t="s">
        <v>139</v>
      </c>
      <c r="E687" t="s">
        <v>139</v>
      </c>
      <c r="F687" t="s">
        <v>139</v>
      </c>
      <c r="G687" t="s">
        <v>139</v>
      </c>
      <c r="H687" t="s">
        <v>139</v>
      </c>
    </row>
    <row r="688" spans="1:9" hidden="1" x14ac:dyDescent="0.25">
      <c r="A688">
        <v>0</v>
      </c>
      <c r="B688" t="s">
        <v>510</v>
      </c>
      <c r="C688">
        <v>2</v>
      </c>
      <c r="D688" t="s">
        <v>139</v>
      </c>
      <c r="E688" t="s">
        <v>139</v>
      </c>
      <c r="F688" t="s">
        <v>139</v>
      </c>
      <c r="G688" t="s">
        <v>139</v>
      </c>
      <c r="H688" t="s">
        <v>139</v>
      </c>
    </row>
    <row r="689" spans="1:9" hidden="1" x14ac:dyDescent="0.25">
      <c r="A689">
        <v>0</v>
      </c>
      <c r="B689" t="s">
        <v>416</v>
      </c>
      <c r="C689">
        <v>3</v>
      </c>
      <c r="D689" t="s">
        <v>139</v>
      </c>
      <c r="E689" t="s">
        <v>139</v>
      </c>
      <c r="F689" t="s">
        <v>139</v>
      </c>
      <c r="G689" t="s">
        <v>139</v>
      </c>
      <c r="H689" t="s">
        <v>852</v>
      </c>
      <c r="I689" t="str">
        <f>_xlfn.XLOOKUP(H689,'SO-DIMM-i9'!A:A,'SO-DIMM-i9'!B:B,_xlfn.XLOOKUP(H689,'SO-DIMM-i9'!H:H,'SO-DIMM-i9'!G:G,""))</f>
        <v/>
      </c>
    </row>
    <row r="690" spans="1:9" hidden="1" x14ac:dyDescent="0.25">
      <c r="A690">
        <v>0</v>
      </c>
      <c r="B690" t="s">
        <v>416</v>
      </c>
      <c r="C690">
        <v>3</v>
      </c>
      <c r="D690" t="s">
        <v>139</v>
      </c>
      <c r="E690" t="s">
        <v>139</v>
      </c>
      <c r="F690" t="s">
        <v>139</v>
      </c>
      <c r="G690" t="s">
        <v>139</v>
      </c>
      <c r="H690" t="s">
        <v>853</v>
      </c>
      <c r="I690" t="str">
        <f>_xlfn.XLOOKUP(H690,'SO-DIMM-i9'!A:A,'SO-DIMM-i9'!B:B,_xlfn.XLOOKUP(H690,'SO-DIMM-i9'!H:H,'SO-DIMM-i9'!G:G,""))</f>
        <v/>
      </c>
    </row>
    <row r="691" spans="1:9" hidden="1" x14ac:dyDescent="0.25">
      <c r="A691">
        <v>0</v>
      </c>
      <c r="B691" t="s">
        <v>416</v>
      </c>
      <c r="C691">
        <v>3</v>
      </c>
      <c r="D691" t="s">
        <v>139</v>
      </c>
      <c r="E691" t="s">
        <v>139</v>
      </c>
      <c r="F691" t="s">
        <v>139</v>
      </c>
      <c r="G691" t="s">
        <v>139</v>
      </c>
      <c r="H691" t="s">
        <v>854</v>
      </c>
      <c r="I691" t="str">
        <f>_xlfn.XLOOKUP(H691,'SO-DIMM-i9'!A:A,'SO-DIMM-i9'!B:B,_xlfn.XLOOKUP(H691,'SO-DIMM-i9'!H:H,'SO-DIMM-i9'!G:G,""))</f>
        <v/>
      </c>
    </row>
    <row r="692" spans="1:9" hidden="1" x14ac:dyDescent="0.25">
      <c r="A692">
        <v>0</v>
      </c>
      <c r="B692" t="s">
        <v>416</v>
      </c>
      <c r="C692">
        <v>3</v>
      </c>
      <c r="D692" t="s">
        <v>139</v>
      </c>
      <c r="E692" t="s">
        <v>139</v>
      </c>
      <c r="F692" t="s">
        <v>139</v>
      </c>
      <c r="G692" t="s">
        <v>139</v>
      </c>
      <c r="H692" t="s">
        <v>139</v>
      </c>
    </row>
    <row r="693" spans="1:9" hidden="1" x14ac:dyDescent="0.25">
      <c r="A693">
        <v>0</v>
      </c>
      <c r="B693" t="s">
        <v>416</v>
      </c>
      <c r="C693">
        <v>3</v>
      </c>
      <c r="D693" t="s">
        <v>139</v>
      </c>
      <c r="E693" t="s">
        <v>139</v>
      </c>
      <c r="F693" t="s">
        <v>139</v>
      </c>
      <c r="G693" t="s">
        <v>139</v>
      </c>
      <c r="H693" t="s">
        <v>139</v>
      </c>
    </row>
    <row r="694" spans="1:9" hidden="1" x14ac:dyDescent="0.25">
      <c r="A694">
        <v>0</v>
      </c>
      <c r="B694" t="s">
        <v>416</v>
      </c>
      <c r="C694">
        <v>3</v>
      </c>
      <c r="D694" t="s">
        <v>139</v>
      </c>
      <c r="E694" t="s">
        <v>139</v>
      </c>
      <c r="F694" t="s">
        <v>139</v>
      </c>
      <c r="G694" t="s">
        <v>139</v>
      </c>
      <c r="H694" t="s">
        <v>139</v>
      </c>
    </row>
    <row r="695" spans="1:9" hidden="1" x14ac:dyDescent="0.25">
      <c r="A695">
        <v>0</v>
      </c>
      <c r="B695" t="s">
        <v>4</v>
      </c>
      <c r="C695" t="s">
        <v>139</v>
      </c>
      <c r="D695" t="s">
        <v>139</v>
      </c>
      <c r="E695" t="s">
        <v>139</v>
      </c>
      <c r="F695" t="s">
        <v>139</v>
      </c>
      <c r="G695" t="s">
        <v>139</v>
      </c>
      <c r="H695" t="s">
        <v>139</v>
      </c>
    </row>
    <row r="696" spans="1:9" hidden="1" x14ac:dyDescent="0.25">
      <c r="A696">
        <v>0</v>
      </c>
      <c r="B696" t="s">
        <v>4</v>
      </c>
      <c r="C696" t="s">
        <v>139</v>
      </c>
      <c r="D696" t="s">
        <v>139</v>
      </c>
      <c r="E696" t="s">
        <v>139</v>
      </c>
      <c r="F696" t="s">
        <v>139</v>
      </c>
      <c r="G696" t="s">
        <v>139</v>
      </c>
      <c r="H696" t="s">
        <v>139</v>
      </c>
    </row>
    <row r="697" spans="1:9" hidden="1" x14ac:dyDescent="0.25">
      <c r="A697">
        <v>0</v>
      </c>
      <c r="B697" t="s">
        <v>4</v>
      </c>
      <c r="C697" t="s">
        <v>139</v>
      </c>
      <c r="D697" t="s">
        <v>139</v>
      </c>
      <c r="E697" t="s">
        <v>139</v>
      </c>
      <c r="F697" t="s">
        <v>139</v>
      </c>
      <c r="G697" t="s">
        <v>139</v>
      </c>
      <c r="H697" t="s">
        <v>139</v>
      </c>
    </row>
    <row r="698" spans="1:9" hidden="1" x14ac:dyDescent="0.25">
      <c r="A698">
        <v>0</v>
      </c>
      <c r="B698" t="s">
        <v>4</v>
      </c>
      <c r="C698" t="s">
        <v>139</v>
      </c>
      <c r="D698" t="s">
        <v>139</v>
      </c>
      <c r="E698" t="s">
        <v>139</v>
      </c>
      <c r="F698" t="s">
        <v>139</v>
      </c>
      <c r="G698" t="s">
        <v>139</v>
      </c>
      <c r="H698" t="s">
        <v>139</v>
      </c>
    </row>
    <row r="699" spans="1:9" hidden="1" x14ac:dyDescent="0.25">
      <c r="A699">
        <v>0</v>
      </c>
      <c r="B699" t="s">
        <v>4</v>
      </c>
      <c r="C699" t="s">
        <v>139</v>
      </c>
      <c r="D699" t="s">
        <v>139</v>
      </c>
      <c r="E699" t="s">
        <v>139</v>
      </c>
      <c r="F699" t="s">
        <v>139</v>
      </c>
      <c r="G699" t="s">
        <v>139</v>
      </c>
      <c r="H699" t="s">
        <v>139</v>
      </c>
    </row>
    <row r="700" spans="1:9" hidden="1" x14ac:dyDescent="0.25">
      <c r="A700">
        <v>0</v>
      </c>
      <c r="B700" t="s">
        <v>4</v>
      </c>
      <c r="C700" t="s">
        <v>139</v>
      </c>
      <c r="D700" t="s">
        <v>139</v>
      </c>
      <c r="E700" t="s">
        <v>139</v>
      </c>
      <c r="F700" t="s">
        <v>139</v>
      </c>
      <c r="G700" t="s">
        <v>139</v>
      </c>
      <c r="H700" t="s">
        <v>139</v>
      </c>
    </row>
    <row r="701" spans="1:9" hidden="1" x14ac:dyDescent="0.25">
      <c r="A701">
        <v>0</v>
      </c>
      <c r="B701" t="s">
        <v>4</v>
      </c>
      <c r="C701" t="s">
        <v>139</v>
      </c>
      <c r="D701" t="s">
        <v>139</v>
      </c>
      <c r="E701" t="s">
        <v>139</v>
      </c>
      <c r="F701" t="s">
        <v>139</v>
      </c>
      <c r="G701" t="s">
        <v>139</v>
      </c>
      <c r="H701" t="s">
        <v>139</v>
      </c>
    </row>
    <row r="702" spans="1:9" hidden="1" x14ac:dyDescent="0.25">
      <c r="A702">
        <v>0</v>
      </c>
      <c r="B702" t="s">
        <v>4</v>
      </c>
      <c r="C702" t="s">
        <v>139</v>
      </c>
      <c r="D702" t="s">
        <v>139</v>
      </c>
      <c r="E702" t="s">
        <v>139</v>
      </c>
      <c r="F702" t="s">
        <v>139</v>
      </c>
      <c r="G702" t="s">
        <v>139</v>
      </c>
      <c r="H702" t="s">
        <v>139</v>
      </c>
    </row>
    <row r="703" spans="1:9" hidden="1" x14ac:dyDescent="0.25">
      <c r="A703">
        <v>0</v>
      </c>
      <c r="B703" t="s">
        <v>4</v>
      </c>
      <c r="C703" t="s">
        <v>139</v>
      </c>
      <c r="D703" t="s">
        <v>139</v>
      </c>
      <c r="E703" t="s">
        <v>139</v>
      </c>
      <c r="F703" t="s">
        <v>139</v>
      </c>
      <c r="G703" t="s">
        <v>139</v>
      </c>
      <c r="H703" t="s">
        <v>139</v>
      </c>
    </row>
    <row r="704" spans="1:9" hidden="1" x14ac:dyDescent="0.25">
      <c r="A704">
        <v>0</v>
      </c>
      <c r="B704" t="s">
        <v>4</v>
      </c>
      <c r="C704" t="s">
        <v>139</v>
      </c>
      <c r="D704" t="s">
        <v>139</v>
      </c>
      <c r="E704" t="s">
        <v>139</v>
      </c>
      <c r="F704" t="s">
        <v>139</v>
      </c>
      <c r="G704" t="s">
        <v>139</v>
      </c>
      <c r="H704" t="s">
        <v>139</v>
      </c>
    </row>
    <row r="705" spans="1:9" hidden="1" x14ac:dyDescent="0.25">
      <c r="A705">
        <v>0</v>
      </c>
      <c r="B705" t="s">
        <v>4</v>
      </c>
      <c r="C705" t="s">
        <v>139</v>
      </c>
      <c r="D705" t="s">
        <v>139</v>
      </c>
      <c r="E705" t="s">
        <v>139</v>
      </c>
      <c r="F705" t="s">
        <v>139</v>
      </c>
      <c r="G705" t="s">
        <v>139</v>
      </c>
      <c r="H705" t="s">
        <v>139</v>
      </c>
    </row>
    <row r="706" spans="1:9" hidden="1" x14ac:dyDescent="0.25">
      <c r="A706">
        <v>0</v>
      </c>
      <c r="B706" t="s">
        <v>4</v>
      </c>
      <c r="C706" t="s">
        <v>139</v>
      </c>
      <c r="D706" t="s">
        <v>139</v>
      </c>
      <c r="E706" t="s">
        <v>139</v>
      </c>
      <c r="F706" t="s">
        <v>139</v>
      </c>
      <c r="G706" t="s">
        <v>139</v>
      </c>
      <c r="H706" t="s">
        <v>139</v>
      </c>
    </row>
    <row r="707" spans="1:9" hidden="1" x14ac:dyDescent="0.25">
      <c r="A707">
        <v>0</v>
      </c>
      <c r="B707" t="s">
        <v>4</v>
      </c>
      <c r="C707" t="s">
        <v>139</v>
      </c>
      <c r="D707" t="s">
        <v>139</v>
      </c>
      <c r="E707" t="s">
        <v>139</v>
      </c>
      <c r="F707" t="s">
        <v>139</v>
      </c>
      <c r="G707" t="s">
        <v>139</v>
      </c>
      <c r="H707" t="s">
        <v>862</v>
      </c>
      <c r="I707" t="str">
        <f>_xlfn.XLOOKUP(H707,'SO-DIMM-i9'!A:A,'SO-DIMM-i9'!B:B,_xlfn.XLOOKUP(H707,'SO-DIMM-i9'!H:H,'SO-DIMM-i9'!G:G,""))</f>
        <v/>
      </c>
    </row>
    <row r="708" spans="1:9" hidden="1" x14ac:dyDescent="0.25">
      <c r="A708">
        <v>0</v>
      </c>
      <c r="B708" t="s">
        <v>4</v>
      </c>
      <c r="C708" t="s">
        <v>139</v>
      </c>
      <c r="D708" t="s">
        <v>139</v>
      </c>
      <c r="E708" t="s">
        <v>139</v>
      </c>
      <c r="F708" t="s">
        <v>139</v>
      </c>
      <c r="G708" t="s">
        <v>139</v>
      </c>
      <c r="H708" t="s">
        <v>871</v>
      </c>
      <c r="I708" t="str">
        <f>_xlfn.XLOOKUP(H708,'SO-DIMM-i9'!A:A,'SO-DIMM-i9'!B:B,_xlfn.XLOOKUP(H708,'SO-DIMM-i9'!H:H,'SO-DIMM-i9'!G:G,""))</f>
        <v/>
      </c>
    </row>
    <row r="709" spans="1:9" hidden="1" x14ac:dyDescent="0.25">
      <c r="A709">
        <v>0</v>
      </c>
      <c r="B709" t="s">
        <v>4</v>
      </c>
      <c r="C709" t="s">
        <v>139</v>
      </c>
      <c r="D709" t="s">
        <v>139</v>
      </c>
      <c r="E709" t="s">
        <v>139</v>
      </c>
      <c r="F709" t="s">
        <v>139</v>
      </c>
      <c r="G709" t="s">
        <v>139</v>
      </c>
      <c r="H709" t="s">
        <v>870</v>
      </c>
      <c r="I709" t="str">
        <f>_xlfn.XLOOKUP(H709,'SO-DIMM-i9'!A:A,'SO-DIMM-i9'!B:B,_xlfn.XLOOKUP(H709,'SO-DIMM-i9'!H:H,'SO-DIMM-i9'!G:G,""))</f>
        <v/>
      </c>
    </row>
    <row r="710" spans="1:9" hidden="1" x14ac:dyDescent="0.25">
      <c r="A710">
        <v>0</v>
      </c>
      <c r="B710" t="s">
        <v>4</v>
      </c>
      <c r="C710" t="s">
        <v>139</v>
      </c>
      <c r="D710" t="s">
        <v>139</v>
      </c>
      <c r="E710" t="s">
        <v>139</v>
      </c>
      <c r="F710" t="s">
        <v>139</v>
      </c>
      <c r="G710" t="s">
        <v>139</v>
      </c>
      <c r="H710" t="s">
        <v>869</v>
      </c>
      <c r="I710" t="str">
        <f>_xlfn.XLOOKUP(H710,'SO-DIMM-i9'!A:A,'SO-DIMM-i9'!B:B,_xlfn.XLOOKUP(H710,'SO-DIMM-i9'!H:H,'SO-DIMM-i9'!G:G,""))</f>
        <v/>
      </c>
    </row>
    <row r="711" spans="1:9" hidden="1" x14ac:dyDescent="0.25">
      <c r="A711">
        <v>0</v>
      </c>
      <c r="B711" t="s">
        <v>4</v>
      </c>
      <c r="C711" t="s">
        <v>139</v>
      </c>
      <c r="D711" t="s">
        <v>139</v>
      </c>
      <c r="E711" t="s">
        <v>139</v>
      </c>
      <c r="F711" t="s">
        <v>139</v>
      </c>
      <c r="G711" t="s">
        <v>139</v>
      </c>
      <c r="H711" t="s">
        <v>868</v>
      </c>
      <c r="I711" t="str">
        <f>_xlfn.XLOOKUP(H711,'SO-DIMM-i9'!A:A,'SO-DIMM-i9'!B:B,_xlfn.XLOOKUP(H711,'SO-DIMM-i9'!H:H,'SO-DIMM-i9'!G:G,""))</f>
        <v/>
      </c>
    </row>
    <row r="712" spans="1:9" hidden="1" x14ac:dyDescent="0.25">
      <c r="A712">
        <v>0</v>
      </c>
      <c r="B712" t="s">
        <v>4</v>
      </c>
      <c r="C712" t="s">
        <v>139</v>
      </c>
      <c r="D712" t="s">
        <v>139</v>
      </c>
      <c r="E712" t="s">
        <v>139</v>
      </c>
      <c r="F712" t="s">
        <v>139</v>
      </c>
      <c r="G712" t="s">
        <v>139</v>
      </c>
      <c r="H712" t="s">
        <v>867</v>
      </c>
      <c r="I712" t="str">
        <f>_xlfn.XLOOKUP(H712,'SO-DIMM-i9'!A:A,'SO-DIMM-i9'!B:B,_xlfn.XLOOKUP(H712,'SO-DIMM-i9'!H:H,'SO-DIMM-i9'!G:G,""))</f>
        <v/>
      </c>
    </row>
    <row r="713" spans="1:9" hidden="1" x14ac:dyDescent="0.25">
      <c r="A713">
        <v>0</v>
      </c>
      <c r="B713" t="s">
        <v>4</v>
      </c>
      <c r="C713" t="s">
        <v>139</v>
      </c>
      <c r="D713" t="s">
        <v>139</v>
      </c>
      <c r="E713" t="s">
        <v>139</v>
      </c>
      <c r="F713" t="s">
        <v>139</v>
      </c>
      <c r="G713" t="s">
        <v>139</v>
      </c>
      <c r="H713" t="s">
        <v>874</v>
      </c>
      <c r="I713" t="str">
        <f>_xlfn.XLOOKUP(H713,'SO-DIMM-i9'!A:A,'SO-DIMM-i9'!B:B,_xlfn.XLOOKUP(H713,'SO-DIMM-i9'!H:H,'SO-DIMM-i9'!G:G,""))</f>
        <v/>
      </c>
    </row>
    <row r="714" spans="1:9" hidden="1" x14ac:dyDescent="0.25">
      <c r="A714">
        <v>0</v>
      </c>
      <c r="B714" t="s">
        <v>4</v>
      </c>
      <c r="C714" t="s">
        <v>139</v>
      </c>
      <c r="D714" t="s">
        <v>139</v>
      </c>
      <c r="E714" t="s">
        <v>139</v>
      </c>
      <c r="F714" t="s">
        <v>139</v>
      </c>
      <c r="G714" t="s">
        <v>139</v>
      </c>
      <c r="H714" t="s">
        <v>873</v>
      </c>
      <c r="I714" t="str">
        <f>_xlfn.XLOOKUP(H714,'SO-DIMM-i9'!A:A,'SO-DIMM-i9'!B:B,_xlfn.XLOOKUP(H714,'SO-DIMM-i9'!H:H,'SO-DIMM-i9'!G:G,""))</f>
        <v/>
      </c>
    </row>
    <row r="715" spans="1:9" hidden="1" x14ac:dyDescent="0.25">
      <c r="A715">
        <v>0</v>
      </c>
      <c r="B715" t="s">
        <v>4</v>
      </c>
      <c r="C715" t="s">
        <v>139</v>
      </c>
      <c r="D715" t="s">
        <v>139</v>
      </c>
      <c r="E715" t="s">
        <v>139</v>
      </c>
      <c r="F715" t="s">
        <v>139</v>
      </c>
      <c r="G715" t="s">
        <v>139</v>
      </c>
      <c r="H715" t="s">
        <v>872</v>
      </c>
      <c r="I715" t="str">
        <f>_xlfn.XLOOKUP(H715,'SO-DIMM-i9'!A:A,'SO-DIMM-i9'!B:B,_xlfn.XLOOKUP(H715,'SO-DIMM-i9'!H:H,'SO-DIMM-i9'!G:G,""))</f>
        <v/>
      </c>
    </row>
    <row r="716" spans="1:9" hidden="1" x14ac:dyDescent="0.25">
      <c r="A716">
        <v>0</v>
      </c>
      <c r="B716" t="s">
        <v>4</v>
      </c>
      <c r="C716" t="s">
        <v>139</v>
      </c>
      <c r="D716" t="s">
        <v>139</v>
      </c>
      <c r="E716" t="s">
        <v>139</v>
      </c>
      <c r="F716" t="s">
        <v>139</v>
      </c>
      <c r="G716" t="s">
        <v>139</v>
      </c>
      <c r="H716" t="s">
        <v>875</v>
      </c>
      <c r="I716" t="str">
        <f>_xlfn.XLOOKUP(H716,'SO-DIMM-i9'!A:A,'SO-DIMM-i9'!B:B,_xlfn.XLOOKUP(H716,'SO-DIMM-i9'!H:H,'SO-DIMM-i9'!G:G,""))</f>
        <v/>
      </c>
    </row>
    <row r="717" spans="1:9" hidden="1" x14ac:dyDescent="0.25">
      <c r="A717">
        <v>0</v>
      </c>
      <c r="B717" t="s">
        <v>4</v>
      </c>
      <c r="C717" t="s">
        <v>139</v>
      </c>
      <c r="D717" t="s">
        <v>139</v>
      </c>
      <c r="E717" t="s">
        <v>139</v>
      </c>
      <c r="F717" t="s">
        <v>139</v>
      </c>
      <c r="G717" t="s">
        <v>139</v>
      </c>
      <c r="H717" t="s">
        <v>876</v>
      </c>
      <c r="I717" t="str">
        <f>_xlfn.XLOOKUP(H717,'SO-DIMM-i9'!A:A,'SO-DIMM-i9'!B:B,_xlfn.XLOOKUP(H717,'SO-DIMM-i9'!H:H,'SO-DIMM-i9'!G:G,""))</f>
        <v/>
      </c>
    </row>
    <row r="718" spans="1:9" hidden="1" x14ac:dyDescent="0.25">
      <c r="A718">
        <v>0</v>
      </c>
      <c r="B718" t="s">
        <v>4</v>
      </c>
      <c r="C718" t="s">
        <v>139</v>
      </c>
      <c r="D718" t="s">
        <v>139</v>
      </c>
      <c r="E718" t="s">
        <v>139</v>
      </c>
      <c r="F718" t="s">
        <v>139</v>
      </c>
      <c r="G718" t="s">
        <v>139</v>
      </c>
      <c r="H718" t="s">
        <v>877</v>
      </c>
      <c r="I718" t="str">
        <f>_xlfn.XLOOKUP(H718,'SO-DIMM-i9'!A:A,'SO-DIMM-i9'!B:B,_xlfn.XLOOKUP(H718,'SO-DIMM-i9'!H:H,'SO-DIMM-i9'!G:G,""))</f>
        <v/>
      </c>
    </row>
    <row r="719" spans="1:9" hidden="1" x14ac:dyDescent="0.25">
      <c r="A719">
        <v>0</v>
      </c>
      <c r="B719" t="s">
        <v>4</v>
      </c>
      <c r="C719" t="s">
        <v>139</v>
      </c>
      <c r="D719" t="s">
        <v>139</v>
      </c>
      <c r="E719" t="s">
        <v>139</v>
      </c>
      <c r="F719" t="s">
        <v>139</v>
      </c>
      <c r="G719" t="s">
        <v>139</v>
      </c>
      <c r="H719" t="s">
        <v>878</v>
      </c>
      <c r="I719" t="str">
        <f>_xlfn.XLOOKUP(H719,'SO-DIMM-i9'!A:A,'SO-DIMM-i9'!B:B,_xlfn.XLOOKUP(H719,'SO-DIMM-i9'!H:H,'SO-DIMM-i9'!G:G,""))</f>
        <v/>
      </c>
    </row>
    <row r="720" spans="1:9" hidden="1" x14ac:dyDescent="0.25">
      <c r="A720">
        <v>0</v>
      </c>
      <c r="B720" t="s">
        <v>4</v>
      </c>
      <c r="C720" t="s">
        <v>139</v>
      </c>
      <c r="D720" t="s">
        <v>139</v>
      </c>
      <c r="E720" t="s">
        <v>139</v>
      </c>
      <c r="F720" t="s">
        <v>139</v>
      </c>
      <c r="G720" t="s">
        <v>139</v>
      </c>
      <c r="H720" t="s">
        <v>879</v>
      </c>
      <c r="I720" t="str">
        <f>_xlfn.XLOOKUP(H720,'SO-DIMM-i9'!A:A,'SO-DIMM-i9'!B:B,_xlfn.XLOOKUP(H720,'SO-DIMM-i9'!H:H,'SO-DIMM-i9'!G:G,""))</f>
        <v/>
      </c>
    </row>
    <row r="721" spans="1:9" hidden="1" x14ac:dyDescent="0.25">
      <c r="A721">
        <v>0</v>
      </c>
      <c r="B721" t="s">
        <v>4</v>
      </c>
      <c r="C721" t="s">
        <v>139</v>
      </c>
      <c r="D721" t="s">
        <v>139</v>
      </c>
      <c r="E721" t="s">
        <v>139</v>
      </c>
      <c r="F721" t="s">
        <v>139</v>
      </c>
      <c r="G721" t="s">
        <v>139</v>
      </c>
      <c r="H721" t="s">
        <v>880</v>
      </c>
      <c r="I721" t="str">
        <f>_xlfn.XLOOKUP(H721,'SO-DIMM-i9'!A:A,'SO-DIMM-i9'!B:B,_xlfn.XLOOKUP(H721,'SO-DIMM-i9'!H:H,'SO-DIMM-i9'!G:G,""))</f>
        <v/>
      </c>
    </row>
    <row r="722" spans="1:9" hidden="1" x14ac:dyDescent="0.25">
      <c r="A722">
        <v>0</v>
      </c>
      <c r="B722" t="s">
        <v>4</v>
      </c>
      <c r="C722" t="s">
        <v>139</v>
      </c>
      <c r="D722" t="s">
        <v>139</v>
      </c>
      <c r="E722" t="s">
        <v>139</v>
      </c>
      <c r="F722" t="s">
        <v>139</v>
      </c>
      <c r="G722" t="s">
        <v>139</v>
      </c>
      <c r="H722" t="s">
        <v>861</v>
      </c>
      <c r="I722" t="str">
        <f>_xlfn.XLOOKUP(H722,'SO-DIMM-i9'!A:A,'SO-DIMM-i9'!B:B,_xlfn.XLOOKUP(H722,'SO-DIMM-i9'!H:H,'SO-DIMM-i9'!G:G,""))</f>
        <v/>
      </c>
    </row>
    <row r="723" spans="1:9" hidden="1" x14ac:dyDescent="0.25">
      <c r="A723">
        <v>0</v>
      </c>
      <c r="B723" t="s">
        <v>4</v>
      </c>
      <c r="C723" t="s">
        <v>139</v>
      </c>
      <c r="D723" t="s">
        <v>139</v>
      </c>
      <c r="E723" t="s">
        <v>139</v>
      </c>
      <c r="F723" t="s">
        <v>139</v>
      </c>
      <c r="G723" t="s">
        <v>139</v>
      </c>
      <c r="H723" t="s">
        <v>860</v>
      </c>
      <c r="I723" t="str">
        <f>_xlfn.XLOOKUP(H723,'SO-DIMM-i9'!A:A,'SO-DIMM-i9'!B:B,_xlfn.XLOOKUP(H723,'SO-DIMM-i9'!H:H,'SO-DIMM-i9'!G:G,""))</f>
        <v/>
      </c>
    </row>
    <row r="724" spans="1:9" hidden="1" x14ac:dyDescent="0.25">
      <c r="A724">
        <v>0</v>
      </c>
      <c r="B724" t="s">
        <v>4</v>
      </c>
      <c r="C724" t="s">
        <v>139</v>
      </c>
      <c r="D724" t="s">
        <v>139</v>
      </c>
      <c r="E724" t="s">
        <v>139</v>
      </c>
      <c r="F724" t="s">
        <v>139</v>
      </c>
      <c r="G724" t="s">
        <v>139</v>
      </c>
      <c r="H724" t="s">
        <v>857</v>
      </c>
      <c r="I724" t="str">
        <f>_xlfn.XLOOKUP(H724,'SO-DIMM-i9'!A:A,'SO-DIMM-i9'!B:B,_xlfn.XLOOKUP(H724,'SO-DIMM-i9'!H:H,'SO-DIMM-i9'!G:G,""))</f>
        <v/>
      </c>
    </row>
    <row r="725" spans="1:9" hidden="1" x14ac:dyDescent="0.25">
      <c r="A725">
        <v>0</v>
      </c>
      <c r="B725" t="s">
        <v>4</v>
      </c>
      <c r="C725" t="s">
        <v>139</v>
      </c>
      <c r="D725" t="s">
        <v>139</v>
      </c>
      <c r="E725" t="s">
        <v>139</v>
      </c>
      <c r="F725" t="s">
        <v>139</v>
      </c>
      <c r="G725" t="s">
        <v>139</v>
      </c>
      <c r="H725" t="s">
        <v>859</v>
      </c>
      <c r="I725" t="str">
        <f>_xlfn.XLOOKUP(H725,'SO-DIMM-i9'!A:A,'SO-DIMM-i9'!B:B,_xlfn.XLOOKUP(H725,'SO-DIMM-i9'!H:H,'SO-DIMM-i9'!G:G,""))</f>
        <v/>
      </c>
    </row>
    <row r="726" spans="1:9" hidden="1" x14ac:dyDescent="0.25">
      <c r="A726">
        <v>0</v>
      </c>
      <c r="B726" t="s">
        <v>4</v>
      </c>
      <c r="C726" t="s">
        <v>139</v>
      </c>
      <c r="D726" t="s">
        <v>139</v>
      </c>
      <c r="E726" t="s">
        <v>139</v>
      </c>
      <c r="F726" t="s">
        <v>139</v>
      </c>
      <c r="G726" t="s">
        <v>139</v>
      </c>
      <c r="H726" t="s">
        <v>856</v>
      </c>
      <c r="I726" t="str">
        <f>_xlfn.XLOOKUP(H726,'SO-DIMM-i9'!A:A,'SO-DIMM-i9'!B:B,_xlfn.XLOOKUP(H726,'SO-DIMM-i9'!H:H,'SO-DIMM-i9'!G:G,""))</f>
        <v/>
      </c>
    </row>
    <row r="727" spans="1:9" hidden="1" x14ac:dyDescent="0.25">
      <c r="A727">
        <v>0</v>
      </c>
      <c r="B727" t="s">
        <v>4</v>
      </c>
      <c r="C727" t="s">
        <v>139</v>
      </c>
      <c r="D727" t="s">
        <v>139</v>
      </c>
      <c r="E727" t="s">
        <v>139</v>
      </c>
      <c r="F727" t="s">
        <v>139</v>
      </c>
      <c r="G727" t="s">
        <v>139</v>
      </c>
      <c r="H727" t="s">
        <v>858</v>
      </c>
      <c r="I727" t="str">
        <f>_xlfn.XLOOKUP(H727,'SO-DIMM-i9'!A:A,'SO-DIMM-i9'!B:B,_xlfn.XLOOKUP(H727,'SO-DIMM-i9'!H:H,'SO-DIMM-i9'!G:G,""))</f>
        <v/>
      </c>
    </row>
    <row r="728" spans="1:9" hidden="1" x14ac:dyDescent="0.25">
      <c r="A728">
        <v>0</v>
      </c>
      <c r="B728" t="s">
        <v>4</v>
      </c>
      <c r="C728" t="s">
        <v>139</v>
      </c>
      <c r="D728" t="s">
        <v>139</v>
      </c>
      <c r="E728" t="s">
        <v>139</v>
      </c>
      <c r="F728" t="s">
        <v>139</v>
      </c>
      <c r="G728" t="s">
        <v>139</v>
      </c>
      <c r="H728" t="s">
        <v>855</v>
      </c>
      <c r="I728" t="str">
        <f>_xlfn.XLOOKUP(H728,'SO-DIMM-i9'!A:A,'SO-DIMM-i9'!B:B,_xlfn.XLOOKUP(H728,'SO-DIMM-i9'!H:H,'SO-DIMM-i9'!G:G,""))</f>
        <v/>
      </c>
    </row>
    <row r="729" spans="1:9" hidden="1" x14ac:dyDescent="0.25">
      <c r="A729">
        <v>0</v>
      </c>
      <c r="B729" t="s">
        <v>4</v>
      </c>
      <c r="C729" t="s">
        <v>139</v>
      </c>
      <c r="D729" t="s">
        <v>139</v>
      </c>
      <c r="E729" t="s">
        <v>139</v>
      </c>
      <c r="F729" t="s">
        <v>139</v>
      </c>
      <c r="G729" t="s">
        <v>139</v>
      </c>
      <c r="H729" t="s">
        <v>866</v>
      </c>
      <c r="I729" t="str">
        <f>_xlfn.XLOOKUP(H729,'SO-DIMM-i9'!A:A,'SO-DIMM-i9'!B:B,_xlfn.XLOOKUP(H729,'SO-DIMM-i9'!H:H,'SO-DIMM-i9'!G:G,""))</f>
        <v/>
      </c>
    </row>
    <row r="730" spans="1:9" hidden="1" x14ac:dyDescent="0.25">
      <c r="A730">
        <v>0</v>
      </c>
      <c r="B730" t="s">
        <v>4</v>
      </c>
      <c r="C730" t="s">
        <v>139</v>
      </c>
      <c r="D730" t="s">
        <v>139</v>
      </c>
      <c r="E730" t="s">
        <v>139</v>
      </c>
      <c r="F730" t="s">
        <v>139</v>
      </c>
      <c r="G730" t="s">
        <v>139</v>
      </c>
      <c r="H730" t="s">
        <v>865</v>
      </c>
      <c r="I730" t="str">
        <f>_xlfn.XLOOKUP(H730,'SO-DIMM-i9'!A:A,'SO-DIMM-i9'!B:B,_xlfn.XLOOKUP(H730,'SO-DIMM-i9'!H:H,'SO-DIMM-i9'!G:G,""))</f>
        <v/>
      </c>
    </row>
    <row r="731" spans="1:9" hidden="1" x14ac:dyDescent="0.25">
      <c r="A731">
        <v>0</v>
      </c>
      <c r="B731" t="s">
        <v>4</v>
      </c>
      <c r="C731" t="s">
        <v>139</v>
      </c>
      <c r="D731" t="s">
        <v>139</v>
      </c>
      <c r="E731" t="s">
        <v>139</v>
      </c>
      <c r="F731" t="s">
        <v>139</v>
      </c>
      <c r="G731" t="s">
        <v>139</v>
      </c>
      <c r="H731" t="s">
        <v>864</v>
      </c>
      <c r="I731" t="str">
        <f>_xlfn.XLOOKUP(H731,'SO-DIMM-i9'!A:A,'SO-DIMM-i9'!B:B,_xlfn.XLOOKUP(H731,'SO-DIMM-i9'!H:H,'SO-DIMM-i9'!G:G,""))</f>
        <v/>
      </c>
    </row>
    <row r="732" spans="1:9" hidden="1" x14ac:dyDescent="0.25">
      <c r="A732">
        <v>0</v>
      </c>
      <c r="B732" t="s">
        <v>4</v>
      </c>
      <c r="C732" t="s">
        <v>139</v>
      </c>
      <c r="D732" t="s">
        <v>139</v>
      </c>
      <c r="E732" t="s">
        <v>139</v>
      </c>
      <c r="F732" t="s">
        <v>139</v>
      </c>
      <c r="G732" t="s">
        <v>139</v>
      </c>
      <c r="H732" t="s">
        <v>863</v>
      </c>
      <c r="I732" t="str">
        <f>_xlfn.XLOOKUP(H732,'SO-DIMM-i9'!A:A,'SO-DIMM-i9'!B:B,_xlfn.XLOOKUP(H732,'SO-DIMM-i9'!H:H,'SO-DIMM-i9'!G:G,""))</f>
        <v/>
      </c>
    </row>
    <row r="733" spans="1:9" hidden="1" x14ac:dyDescent="0.25">
      <c r="A733">
        <v>0</v>
      </c>
      <c r="B733" t="s">
        <v>4</v>
      </c>
      <c r="C733" t="s">
        <v>139</v>
      </c>
      <c r="D733" t="s">
        <v>139</v>
      </c>
      <c r="E733" t="s">
        <v>139</v>
      </c>
      <c r="F733" t="s">
        <v>139</v>
      </c>
      <c r="G733" t="s">
        <v>139</v>
      </c>
      <c r="H733" t="s">
        <v>139</v>
      </c>
    </row>
    <row r="734" spans="1:9" hidden="1" x14ac:dyDescent="0.25">
      <c r="A734">
        <v>0</v>
      </c>
      <c r="B734" t="s">
        <v>4</v>
      </c>
      <c r="C734" t="s">
        <v>139</v>
      </c>
      <c r="D734" t="s">
        <v>139</v>
      </c>
      <c r="E734" t="s">
        <v>139</v>
      </c>
      <c r="F734" t="s">
        <v>139</v>
      </c>
      <c r="G734" t="s">
        <v>139</v>
      </c>
      <c r="H734" t="s">
        <v>139</v>
      </c>
    </row>
    <row r="735" spans="1:9" hidden="1" x14ac:dyDescent="0.25">
      <c r="A735">
        <v>0</v>
      </c>
      <c r="B735" t="s">
        <v>4</v>
      </c>
      <c r="C735" t="s">
        <v>139</v>
      </c>
      <c r="D735" t="s">
        <v>139</v>
      </c>
      <c r="E735" t="s">
        <v>139</v>
      </c>
      <c r="F735" t="s">
        <v>139</v>
      </c>
      <c r="G735" t="s">
        <v>139</v>
      </c>
      <c r="H735" t="s">
        <v>139</v>
      </c>
    </row>
    <row r="736" spans="1:9" hidden="1" x14ac:dyDescent="0.25">
      <c r="A736">
        <v>0</v>
      </c>
      <c r="B736" t="s">
        <v>4</v>
      </c>
      <c r="C736" t="s">
        <v>139</v>
      </c>
      <c r="D736" t="s">
        <v>139</v>
      </c>
      <c r="E736" t="s">
        <v>139</v>
      </c>
      <c r="F736" t="s">
        <v>139</v>
      </c>
      <c r="G736" t="s">
        <v>139</v>
      </c>
      <c r="H736" t="s">
        <v>139</v>
      </c>
    </row>
    <row r="737" spans="1:8" hidden="1" x14ac:dyDescent="0.25">
      <c r="A737">
        <v>0</v>
      </c>
      <c r="B737" t="s">
        <v>4</v>
      </c>
      <c r="C737" t="s">
        <v>139</v>
      </c>
      <c r="D737" t="s">
        <v>139</v>
      </c>
      <c r="E737" t="s">
        <v>139</v>
      </c>
      <c r="F737" t="s">
        <v>139</v>
      </c>
      <c r="G737" t="s">
        <v>139</v>
      </c>
      <c r="H737" t="s">
        <v>139</v>
      </c>
    </row>
    <row r="738" spans="1:8" hidden="1" x14ac:dyDescent="0.25">
      <c r="A738">
        <v>0</v>
      </c>
      <c r="B738" t="s">
        <v>4</v>
      </c>
      <c r="C738" t="s">
        <v>139</v>
      </c>
      <c r="D738" t="s">
        <v>139</v>
      </c>
      <c r="E738" t="s">
        <v>139</v>
      </c>
      <c r="F738" t="s">
        <v>139</v>
      </c>
      <c r="G738" t="s">
        <v>139</v>
      </c>
      <c r="H738" t="s">
        <v>139</v>
      </c>
    </row>
    <row r="739" spans="1:8" hidden="1" x14ac:dyDescent="0.25">
      <c r="A739">
        <v>0</v>
      </c>
      <c r="B739" t="s">
        <v>4</v>
      </c>
      <c r="C739" t="s">
        <v>139</v>
      </c>
      <c r="D739" t="s">
        <v>139</v>
      </c>
      <c r="E739" t="s">
        <v>139</v>
      </c>
      <c r="F739" t="s">
        <v>139</v>
      </c>
      <c r="G739" t="s">
        <v>139</v>
      </c>
      <c r="H739" t="s">
        <v>139</v>
      </c>
    </row>
    <row r="740" spans="1:8" hidden="1" x14ac:dyDescent="0.25">
      <c r="A740">
        <v>0</v>
      </c>
      <c r="B740" t="s">
        <v>4</v>
      </c>
      <c r="C740" t="s">
        <v>139</v>
      </c>
      <c r="D740" t="s">
        <v>139</v>
      </c>
      <c r="E740" t="s">
        <v>139</v>
      </c>
      <c r="F740" t="s">
        <v>139</v>
      </c>
      <c r="G740" t="s">
        <v>139</v>
      </c>
      <c r="H740" t="s">
        <v>139</v>
      </c>
    </row>
    <row r="741" spans="1:8" hidden="1" x14ac:dyDescent="0.25">
      <c r="A741">
        <v>0</v>
      </c>
      <c r="B741" t="s">
        <v>4</v>
      </c>
      <c r="C741" t="s">
        <v>139</v>
      </c>
      <c r="D741" t="s">
        <v>139</v>
      </c>
      <c r="E741" t="s">
        <v>139</v>
      </c>
      <c r="F741" t="s">
        <v>139</v>
      </c>
      <c r="G741" t="s">
        <v>139</v>
      </c>
      <c r="H741" t="s">
        <v>139</v>
      </c>
    </row>
    <row r="742" spans="1:8" hidden="1" x14ac:dyDescent="0.25">
      <c r="A742">
        <v>0</v>
      </c>
      <c r="B742" t="s">
        <v>4</v>
      </c>
      <c r="C742" t="s">
        <v>139</v>
      </c>
      <c r="D742" t="s">
        <v>139</v>
      </c>
      <c r="E742" t="s">
        <v>139</v>
      </c>
      <c r="F742" t="s">
        <v>139</v>
      </c>
      <c r="G742" t="s">
        <v>139</v>
      </c>
      <c r="H742" t="s">
        <v>139</v>
      </c>
    </row>
    <row r="743" spans="1:8" hidden="1" x14ac:dyDescent="0.25">
      <c r="A743">
        <v>0</v>
      </c>
      <c r="B743" t="s">
        <v>4</v>
      </c>
      <c r="C743" t="s">
        <v>139</v>
      </c>
      <c r="D743" t="s">
        <v>139</v>
      </c>
      <c r="E743" t="s">
        <v>139</v>
      </c>
      <c r="F743" t="s">
        <v>139</v>
      </c>
      <c r="G743" t="s">
        <v>139</v>
      </c>
      <c r="H743" t="s">
        <v>139</v>
      </c>
    </row>
    <row r="744" spans="1:8" hidden="1" x14ac:dyDescent="0.25">
      <c r="A744">
        <v>0</v>
      </c>
      <c r="B744" t="s">
        <v>4</v>
      </c>
      <c r="C744" t="s">
        <v>139</v>
      </c>
      <c r="D744" t="s">
        <v>139</v>
      </c>
      <c r="E744" t="s">
        <v>139</v>
      </c>
      <c r="F744" t="s">
        <v>139</v>
      </c>
      <c r="G744" t="s">
        <v>139</v>
      </c>
      <c r="H744" t="s">
        <v>139</v>
      </c>
    </row>
    <row r="745" spans="1:8" hidden="1" x14ac:dyDescent="0.25">
      <c r="A745">
        <v>0</v>
      </c>
      <c r="B745" t="s">
        <v>4</v>
      </c>
      <c r="C745" t="s">
        <v>139</v>
      </c>
      <c r="D745" t="s">
        <v>139</v>
      </c>
      <c r="E745" t="s">
        <v>139</v>
      </c>
      <c r="F745" t="s">
        <v>139</v>
      </c>
      <c r="G745" t="s">
        <v>139</v>
      </c>
      <c r="H745" t="s">
        <v>139</v>
      </c>
    </row>
    <row r="746" spans="1:8" hidden="1" x14ac:dyDescent="0.25">
      <c r="A746">
        <v>0</v>
      </c>
      <c r="B746" t="s">
        <v>4</v>
      </c>
      <c r="C746" t="s">
        <v>139</v>
      </c>
      <c r="D746" t="s">
        <v>139</v>
      </c>
      <c r="E746" t="s">
        <v>139</v>
      </c>
      <c r="F746" t="s">
        <v>139</v>
      </c>
      <c r="G746" t="s">
        <v>139</v>
      </c>
      <c r="H746" t="s">
        <v>139</v>
      </c>
    </row>
    <row r="747" spans="1:8" hidden="1" x14ac:dyDescent="0.25">
      <c r="A747">
        <v>0</v>
      </c>
      <c r="B747" t="s">
        <v>4</v>
      </c>
      <c r="C747" t="s">
        <v>139</v>
      </c>
      <c r="D747" t="s">
        <v>139</v>
      </c>
      <c r="E747" t="s">
        <v>139</v>
      </c>
      <c r="F747" t="s">
        <v>139</v>
      </c>
      <c r="G747" t="s">
        <v>139</v>
      </c>
      <c r="H747" t="s">
        <v>139</v>
      </c>
    </row>
    <row r="748" spans="1:8" hidden="1" x14ac:dyDescent="0.25">
      <c r="A748">
        <v>0</v>
      </c>
      <c r="B748" t="s">
        <v>4</v>
      </c>
      <c r="C748" t="s">
        <v>139</v>
      </c>
      <c r="D748" t="s">
        <v>139</v>
      </c>
      <c r="E748" t="s">
        <v>139</v>
      </c>
      <c r="F748" t="s">
        <v>139</v>
      </c>
      <c r="G748" t="s">
        <v>139</v>
      </c>
      <c r="H748" t="s">
        <v>139</v>
      </c>
    </row>
    <row r="749" spans="1:8" hidden="1" x14ac:dyDescent="0.25">
      <c r="A749">
        <v>0</v>
      </c>
      <c r="B749" t="s">
        <v>4</v>
      </c>
      <c r="C749" t="s">
        <v>139</v>
      </c>
      <c r="D749" t="s">
        <v>139</v>
      </c>
      <c r="E749" t="s">
        <v>139</v>
      </c>
      <c r="F749" t="s">
        <v>139</v>
      </c>
      <c r="G749" t="s">
        <v>139</v>
      </c>
      <c r="H749" t="s">
        <v>139</v>
      </c>
    </row>
    <row r="750" spans="1:8" hidden="1" x14ac:dyDescent="0.25">
      <c r="A750">
        <v>0</v>
      </c>
      <c r="B750" t="s">
        <v>4</v>
      </c>
      <c r="C750" t="s">
        <v>139</v>
      </c>
      <c r="D750" t="s">
        <v>139</v>
      </c>
      <c r="E750" t="s">
        <v>139</v>
      </c>
      <c r="F750" t="s">
        <v>139</v>
      </c>
      <c r="G750" t="s">
        <v>139</v>
      </c>
      <c r="H750" t="s">
        <v>139</v>
      </c>
    </row>
    <row r="751" spans="1:8" hidden="1" x14ac:dyDescent="0.25">
      <c r="A751">
        <v>0</v>
      </c>
      <c r="B751" t="s">
        <v>4</v>
      </c>
      <c r="C751" t="s">
        <v>139</v>
      </c>
      <c r="D751" t="s">
        <v>139</v>
      </c>
      <c r="E751" t="s">
        <v>139</v>
      </c>
      <c r="F751" t="s">
        <v>139</v>
      </c>
      <c r="G751" t="s">
        <v>139</v>
      </c>
      <c r="H751" t="s">
        <v>139</v>
      </c>
    </row>
    <row r="752" spans="1:8" hidden="1" x14ac:dyDescent="0.25">
      <c r="A752">
        <v>0</v>
      </c>
      <c r="B752" t="s">
        <v>4</v>
      </c>
      <c r="C752" t="s">
        <v>139</v>
      </c>
      <c r="D752" t="s">
        <v>139</v>
      </c>
      <c r="E752" t="s">
        <v>139</v>
      </c>
      <c r="F752" t="s">
        <v>139</v>
      </c>
      <c r="G752" t="s">
        <v>139</v>
      </c>
      <c r="H752" t="s">
        <v>139</v>
      </c>
    </row>
    <row r="753" spans="1:9" hidden="1" x14ac:dyDescent="0.25">
      <c r="A753">
        <v>0</v>
      </c>
      <c r="B753" t="s">
        <v>4</v>
      </c>
      <c r="C753" t="s">
        <v>139</v>
      </c>
      <c r="D753" t="s">
        <v>139</v>
      </c>
      <c r="E753" t="s">
        <v>139</v>
      </c>
      <c r="F753" t="s">
        <v>139</v>
      </c>
      <c r="G753" t="s">
        <v>139</v>
      </c>
      <c r="H753" t="s">
        <v>139</v>
      </c>
    </row>
    <row r="754" spans="1:9" hidden="1" x14ac:dyDescent="0.25">
      <c r="A754">
        <v>0</v>
      </c>
      <c r="B754" t="s">
        <v>4</v>
      </c>
      <c r="C754" t="s">
        <v>139</v>
      </c>
      <c r="D754" t="s">
        <v>139</v>
      </c>
      <c r="E754" t="s">
        <v>139</v>
      </c>
      <c r="F754" t="s">
        <v>139</v>
      </c>
      <c r="G754" t="s">
        <v>139</v>
      </c>
      <c r="H754" t="s">
        <v>139</v>
      </c>
    </row>
    <row r="755" spans="1:9" hidden="1" x14ac:dyDescent="0.25">
      <c r="A755">
        <v>0</v>
      </c>
      <c r="B755" t="s">
        <v>4</v>
      </c>
      <c r="C755" t="s">
        <v>139</v>
      </c>
      <c r="D755" t="s">
        <v>139</v>
      </c>
      <c r="E755" t="s">
        <v>139</v>
      </c>
      <c r="F755" t="s">
        <v>139</v>
      </c>
      <c r="G755" t="s">
        <v>139</v>
      </c>
      <c r="H755" t="s">
        <v>139</v>
      </c>
    </row>
    <row r="756" spans="1:9" hidden="1" x14ac:dyDescent="0.25">
      <c r="A756">
        <v>0</v>
      </c>
      <c r="B756" t="s">
        <v>4</v>
      </c>
      <c r="C756" t="s">
        <v>139</v>
      </c>
      <c r="D756" t="s">
        <v>139</v>
      </c>
      <c r="E756" t="s">
        <v>139</v>
      </c>
      <c r="F756" t="s">
        <v>139</v>
      </c>
      <c r="G756" t="s">
        <v>139</v>
      </c>
      <c r="H756" t="s">
        <v>139</v>
      </c>
    </row>
    <row r="757" spans="1:9" hidden="1" x14ac:dyDescent="0.25">
      <c r="A757">
        <v>0</v>
      </c>
      <c r="B757" t="s">
        <v>4</v>
      </c>
      <c r="C757" t="s">
        <v>139</v>
      </c>
      <c r="D757" t="s">
        <v>139</v>
      </c>
      <c r="E757" t="s">
        <v>139</v>
      </c>
      <c r="F757" t="s">
        <v>139</v>
      </c>
      <c r="G757" t="s">
        <v>139</v>
      </c>
      <c r="H757" t="s">
        <v>139</v>
      </c>
    </row>
    <row r="758" spans="1:9" hidden="1" x14ac:dyDescent="0.25">
      <c r="A758">
        <v>0</v>
      </c>
      <c r="B758" t="s">
        <v>4</v>
      </c>
      <c r="C758" t="s">
        <v>139</v>
      </c>
      <c r="D758" t="s">
        <v>139</v>
      </c>
      <c r="E758" t="s">
        <v>139</v>
      </c>
      <c r="F758" t="s">
        <v>139</v>
      </c>
      <c r="G758" t="s">
        <v>139</v>
      </c>
      <c r="H758" t="s">
        <v>139</v>
      </c>
    </row>
    <row r="759" spans="1:9" hidden="1" x14ac:dyDescent="0.25">
      <c r="A759">
        <v>0</v>
      </c>
      <c r="B759" t="s">
        <v>4</v>
      </c>
      <c r="C759" t="s">
        <v>139</v>
      </c>
      <c r="D759" t="s">
        <v>139</v>
      </c>
      <c r="E759" t="s">
        <v>139</v>
      </c>
      <c r="F759" t="s">
        <v>139</v>
      </c>
      <c r="G759" t="s">
        <v>139</v>
      </c>
      <c r="H759" t="s">
        <v>139</v>
      </c>
    </row>
    <row r="760" spans="1:9" hidden="1" x14ac:dyDescent="0.25">
      <c r="A760">
        <v>0</v>
      </c>
      <c r="B760" t="s">
        <v>4</v>
      </c>
      <c r="C760" t="s">
        <v>139</v>
      </c>
      <c r="D760" t="s">
        <v>139</v>
      </c>
      <c r="E760" t="s">
        <v>139</v>
      </c>
      <c r="F760" t="s">
        <v>139</v>
      </c>
      <c r="G760" t="s">
        <v>139</v>
      </c>
      <c r="H760" t="s">
        <v>139</v>
      </c>
    </row>
    <row r="761" spans="1:9" hidden="1" x14ac:dyDescent="0.25">
      <c r="A761">
        <v>0</v>
      </c>
      <c r="B761" t="s">
        <v>4</v>
      </c>
      <c r="C761" t="s">
        <v>139</v>
      </c>
      <c r="D761" t="s">
        <v>139</v>
      </c>
      <c r="E761" t="s">
        <v>139</v>
      </c>
      <c r="F761" t="s">
        <v>139</v>
      </c>
      <c r="G761" t="s">
        <v>139</v>
      </c>
      <c r="H761" t="s">
        <v>882</v>
      </c>
      <c r="I761" t="str">
        <f>_xlfn.XLOOKUP(H761,'SO-DIMM-i9'!A:A,'SO-DIMM-i9'!B:B,_xlfn.XLOOKUP(H761,'SO-DIMM-i9'!H:H,'SO-DIMM-i9'!G:G,""))</f>
        <v/>
      </c>
    </row>
    <row r="762" spans="1:9" hidden="1" x14ac:dyDescent="0.25">
      <c r="A762">
        <v>0</v>
      </c>
      <c r="B762" t="s">
        <v>4</v>
      </c>
      <c r="C762" t="s">
        <v>139</v>
      </c>
      <c r="D762" t="s">
        <v>139</v>
      </c>
      <c r="E762" t="s">
        <v>139</v>
      </c>
      <c r="F762" t="s">
        <v>139</v>
      </c>
      <c r="G762" t="s">
        <v>139</v>
      </c>
      <c r="H762" t="s">
        <v>881</v>
      </c>
      <c r="I762" t="str">
        <f>_xlfn.XLOOKUP(H762,'SO-DIMM-i9'!A:A,'SO-DIMM-i9'!B:B,_xlfn.XLOOKUP(H762,'SO-DIMM-i9'!H:H,'SO-DIMM-i9'!G:G,""))</f>
        <v/>
      </c>
    </row>
    <row r="763" spans="1:9" hidden="1" x14ac:dyDescent="0.25">
      <c r="A763">
        <v>0</v>
      </c>
      <c r="B763" t="s">
        <v>4</v>
      </c>
      <c r="C763" t="s">
        <v>139</v>
      </c>
      <c r="D763" t="s">
        <v>139</v>
      </c>
      <c r="E763" t="s">
        <v>139</v>
      </c>
      <c r="F763" t="s">
        <v>139</v>
      </c>
      <c r="G763" t="s">
        <v>139</v>
      </c>
      <c r="H763" t="s">
        <v>139</v>
      </c>
    </row>
    <row r="764" spans="1:9" hidden="1" x14ac:dyDescent="0.25">
      <c r="A764">
        <v>0</v>
      </c>
      <c r="B764" t="s">
        <v>4</v>
      </c>
      <c r="C764" t="s">
        <v>139</v>
      </c>
      <c r="D764" t="s">
        <v>139</v>
      </c>
      <c r="E764" t="s">
        <v>139</v>
      </c>
      <c r="F764" t="s">
        <v>139</v>
      </c>
      <c r="G764" t="s">
        <v>139</v>
      </c>
      <c r="H764" t="s">
        <v>139</v>
      </c>
    </row>
    <row r="765" spans="1:9" hidden="1" x14ac:dyDescent="0.25">
      <c r="A765">
        <v>0</v>
      </c>
      <c r="B765" t="s">
        <v>4</v>
      </c>
      <c r="C765" t="s">
        <v>139</v>
      </c>
      <c r="D765" t="s">
        <v>139</v>
      </c>
      <c r="E765" t="s">
        <v>139</v>
      </c>
      <c r="F765" t="s">
        <v>139</v>
      </c>
      <c r="G765" t="s">
        <v>139</v>
      </c>
      <c r="H765" t="s">
        <v>139</v>
      </c>
    </row>
    <row r="766" spans="1:9" hidden="1" x14ac:dyDescent="0.25">
      <c r="A766">
        <v>0</v>
      </c>
      <c r="B766" t="s">
        <v>4</v>
      </c>
      <c r="C766" t="s">
        <v>139</v>
      </c>
      <c r="D766" t="s">
        <v>139</v>
      </c>
      <c r="E766" t="s">
        <v>139</v>
      </c>
      <c r="F766" t="s">
        <v>139</v>
      </c>
      <c r="G766" t="s">
        <v>139</v>
      </c>
      <c r="H766" t="s">
        <v>139</v>
      </c>
    </row>
    <row r="767" spans="1:9" hidden="1" x14ac:dyDescent="0.25">
      <c r="A767">
        <v>0</v>
      </c>
      <c r="B767" t="s">
        <v>4</v>
      </c>
      <c r="C767" t="s">
        <v>139</v>
      </c>
      <c r="D767" t="s">
        <v>139</v>
      </c>
      <c r="E767" t="s">
        <v>139</v>
      </c>
      <c r="F767" t="s">
        <v>139</v>
      </c>
      <c r="G767" t="s">
        <v>139</v>
      </c>
      <c r="H767" t="s">
        <v>139</v>
      </c>
    </row>
    <row r="768" spans="1:9" hidden="1" x14ac:dyDescent="0.25">
      <c r="A768">
        <v>0</v>
      </c>
      <c r="B768" t="s">
        <v>4</v>
      </c>
      <c r="C768" t="s">
        <v>139</v>
      </c>
      <c r="D768" t="s">
        <v>139</v>
      </c>
      <c r="E768" t="s">
        <v>139</v>
      </c>
      <c r="F768" t="s">
        <v>139</v>
      </c>
      <c r="G768" t="s">
        <v>139</v>
      </c>
      <c r="H768" t="s">
        <v>139</v>
      </c>
    </row>
    <row r="769" spans="1:9" hidden="1" x14ac:dyDescent="0.25">
      <c r="A769">
        <v>0</v>
      </c>
      <c r="B769" t="s">
        <v>4</v>
      </c>
      <c r="C769" t="s">
        <v>139</v>
      </c>
      <c r="D769" t="s">
        <v>139</v>
      </c>
      <c r="E769" t="s">
        <v>139</v>
      </c>
      <c r="F769" t="s">
        <v>139</v>
      </c>
      <c r="G769" t="s">
        <v>139</v>
      </c>
      <c r="H769" t="s">
        <v>139</v>
      </c>
    </row>
    <row r="770" spans="1:9" hidden="1" x14ac:dyDescent="0.25">
      <c r="A770">
        <v>0</v>
      </c>
      <c r="B770" t="s">
        <v>4</v>
      </c>
      <c r="C770" t="s">
        <v>139</v>
      </c>
      <c r="D770" t="s">
        <v>139</v>
      </c>
      <c r="E770" t="s">
        <v>139</v>
      </c>
      <c r="F770" t="s">
        <v>139</v>
      </c>
      <c r="G770" t="s">
        <v>139</v>
      </c>
      <c r="H770" t="s">
        <v>139</v>
      </c>
    </row>
    <row r="771" spans="1:9" hidden="1" x14ac:dyDescent="0.25">
      <c r="A771">
        <v>0</v>
      </c>
      <c r="B771" t="s">
        <v>4</v>
      </c>
      <c r="C771" t="s">
        <v>139</v>
      </c>
      <c r="D771" t="s">
        <v>139</v>
      </c>
      <c r="E771" t="s">
        <v>139</v>
      </c>
      <c r="F771" t="s">
        <v>139</v>
      </c>
      <c r="G771" t="s">
        <v>139</v>
      </c>
      <c r="H771" t="s">
        <v>905</v>
      </c>
      <c r="I771" t="str">
        <f>_xlfn.XLOOKUP(H771,'SO-DIMM-i9'!A:A,'SO-DIMM-i9'!B:B,_xlfn.XLOOKUP(H771,'SO-DIMM-i9'!H:H,'SO-DIMM-i9'!G:G,""))</f>
        <v/>
      </c>
    </row>
    <row r="772" spans="1:9" hidden="1" x14ac:dyDescent="0.25">
      <c r="A772">
        <v>0</v>
      </c>
      <c r="B772" t="s">
        <v>4</v>
      </c>
      <c r="C772" t="s">
        <v>139</v>
      </c>
      <c r="D772" t="s">
        <v>139</v>
      </c>
      <c r="E772" t="s">
        <v>139</v>
      </c>
      <c r="F772" t="s">
        <v>139</v>
      </c>
      <c r="G772" t="s">
        <v>139</v>
      </c>
      <c r="H772" t="s">
        <v>906</v>
      </c>
      <c r="I772" t="str">
        <f>_xlfn.XLOOKUP(H772,'SO-DIMM-i9'!A:A,'SO-DIMM-i9'!B:B,_xlfn.XLOOKUP(H772,'SO-DIMM-i9'!H:H,'SO-DIMM-i9'!G:G,""))</f>
        <v/>
      </c>
    </row>
    <row r="773" spans="1:9" hidden="1" x14ac:dyDescent="0.25">
      <c r="A773">
        <v>0</v>
      </c>
      <c r="B773" t="s">
        <v>4</v>
      </c>
      <c r="C773" t="s">
        <v>139</v>
      </c>
      <c r="D773" t="s">
        <v>139</v>
      </c>
      <c r="E773" t="s">
        <v>139</v>
      </c>
      <c r="F773" t="s">
        <v>139</v>
      </c>
      <c r="G773" t="s">
        <v>139</v>
      </c>
      <c r="H773" t="s">
        <v>139</v>
      </c>
    </row>
    <row r="774" spans="1:9" hidden="1" x14ac:dyDescent="0.25">
      <c r="A774">
        <v>0</v>
      </c>
      <c r="B774" t="s">
        <v>4</v>
      </c>
      <c r="C774" t="s">
        <v>139</v>
      </c>
      <c r="D774" t="s">
        <v>139</v>
      </c>
      <c r="E774" t="s">
        <v>139</v>
      </c>
      <c r="F774" t="s">
        <v>139</v>
      </c>
      <c r="G774" t="s">
        <v>139</v>
      </c>
      <c r="H774" t="s">
        <v>139</v>
      </c>
    </row>
    <row r="775" spans="1:9" hidden="1" x14ac:dyDescent="0.25">
      <c r="A775">
        <v>0</v>
      </c>
      <c r="B775" t="s">
        <v>4</v>
      </c>
      <c r="C775" t="s">
        <v>139</v>
      </c>
      <c r="D775" t="s">
        <v>139</v>
      </c>
      <c r="E775" t="s">
        <v>139</v>
      </c>
      <c r="F775" t="s">
        <v>139</v>
      </c>
      <c r="G775" t="s">
        <v>139</v>
      </c>
      <c r="H775" t="s">
        <v>139</v>
      </c>
    </row>
    <row r="776" spans="1:9" hidden="1" x14ac:dyDescent="0.25">
      <c r="A776">
        <v>0</v>
      </c>
      <c r="B776" t="s">
        <v>4</v>
      </c>
      <c r="C776" t="s">
        <v>139</v>
      </c>
      <c r="D776" t="s">
        <v>139</v>
      </c>
      <c r="E776" t="s">
        <v>139</v>
      </c>
      <c r="F776" t="s">
        <v>139</v>
      </c>
      <c r="G776" t="s">
        <v>139</v>
      </c>
      <c r="H776" t="s">
        <v>139</v>
      </c>
    </row>
    <row r="777" spans="1:9" hidden="1" x14ac:dyDescent="0.25">
      <c r="A777">
        <v>0</v>
      </c>
      <c r="B777" t="s">
        <v>4</v>
      </c>
      <c r="C777" t="s">
        <v>139</v>
      </c>
      <c r="D777" t="s">
        <v>139</v>
      </c>
      <c r="E777" t="s">
        <v>139</v>
      </c>
      <c r="F777" t="s">
        <v>139</v>
      </c>
      <c r="G777" t="s">
        <v>139</v>
      </c>
      <c r="H777" t="s">
        <v>139</v>
      </c>
    </row>
    <row r="778" spans="1:9" hidden="1" x14ac:dyDescent="0.25">
      <c r="A778">
        <v>0</v>
      </c>
      <c r="B778" t="s">
        <v>4</v>
      </c>
      <c r="C778" t="s">
        <v>139</v>
      </c>
      <c r="D778" t="s">
        <v>139</v>
      </c>
      <c r="E778" t="s">
        <v>139</v>
      </c>
      <c r="F778" t="s">
        <v>139</v>
      </c>
      <c r="G778" t="s">
        <v>139</v>
      </c>
      <c r="H778" t="s">
        <v>139</v>
      </c>
    </row>
    <row r="779" spans="1:9" hidden="1" x14ac:dyDescent="0.25">
      <c r="A779">
        <v>0</v>
      </c>
      <c r="B779" t="s">
        <v>4</v>
      </c>
      <c r="C779" t="s">
        <v>139</v>
      </c>
      <c r="D779" t="s">
        <v>139</v>
      </c>
      <c r="E779" t="s">
        <v>139</v>
      </c>
      <c r="F779" t="s">
        <v>139</v>
      </c>
      <c r="G779" t="s">
        <v>139</v>
      </c>
      <c r="H779" t="s">
        <v>139</v>
      </c>
    </row>
    <row r="780" spans="1:9" hidden="1" x14ac:dyDescent="0.25">
      <c r="A780">
        <v>0</v>
      </c>
      <c r="B780" t="s">
        <v>4</v>
      </c>
      <c r="C780" t="s">
        <v>139</v>
      </c>
      <c r="D780" t="s">
        <v>139</v>
      </c>
      <c r="E780" t="s">
        <v>139</v>
      </c>
      <c r="F780" t="s">
        <v>139</v>
      </c>
      <c r="G780" t="s">
        <v>139</v>
      </c>
      <c r="H780" t="s">
        <v>139</v>
      </c>
    </row>
    <row r="781" spans="1:9" hidden="1" x14ac:dyDescent="0.25">
      <c r="A781">
        <v>0</v>
      </c>
      <c r="B781" t="s">
        <v>4</v>
      </c>
      <c r="C781" t="s">
        <v>139</v>
      </c>
      <c r="D781" t="s">
        <v>139</v>
      </c>
      <c r="E781" t="s">
        <v>139</v>
      </c>
      <c r="F781" t="s">
        <v>139</v>
      </c>
      <c r="G781" t="s">
        <v>139</v>
      </c>
      <c r="H781" t="s">
        <v>884</v>
      </c>
      <c r="I781" t="str">
        <f>_xlfn.XLOOKUP(H781,'SO-DIMM-i9'!A:A,'SO-DIMM-i9'!B:B,_xlfn.XLOOKUP(H781,'SO-DIMM-i9'!H:H,'SO-DIMM-i9'!G:G,""))</f>
        <v/>
      </c>
    </row>
    <row r="782" spans="1:9" hidden="1" x14ac:dyDescent="0.25">
      <c r="A782">
        <v>0</v>
      </c>
      <c r="B782" t="s">
        <v>4</v>
      </c>
      <c r="C782" t="s">
        <v>139</v>
      </c>
      <c r="D782" t="s">
        <v>139</v>
      </c>
      <c r="E782" t="s">
        <v>139</v>
      </c>
      <c r="F782" t="s">
        <v>139</v>
      </c>
      <c r="G782" t="s">
        <v>139</v>
      </c>
      <c r="H782" t="s">
        <v>883</v>
      </c>
      <c r="I782" t="str">
        <f>_xlfn.XLOOKUP(H782,'SO-DIMM-i9'!A:A,'SO-DIMM-i9'!B:B,_xlfn.XLOOKUP(H782,'SO-DIMM-i9'!H:H,'SO-DIMM-i9'!G:G,""))</f>
        <v/>
      </c>
    </row>
    <row r="783" spans="1:9" hidden="1" x14ac:dyDescent="0.25">
      <c r="A783">
        <v>0</v>
      </c>
      <c r="B783" t="s">
        <v>4</v>
      </c>
      <c r="C783" t="s">
        <v>139</v>
      </c>
      <c r="D783" t="s">
        <v>139</v>
      </c>
      <c r="E783" t="s">
        <v>139</v>
      </c>
      <c r="F783" t="s">
        <v>139</v>
      </c>
      <c r="G783" t="s">
        <v>139</v>
      </c>
      <c r="H783" t="s">
        <v>139</v>
      </c>
    </row>
    <row r="784" spans="1:9" hidden="1" x14ac:dyDescent="0.25">
      <c r="A784">
        <v>0</v>
      </c>
      <c r="B784" t="s">
        <v>4</v>
      </c>
      <c r="C784" t="s">
        <v>139</v>
      </c>
      <c r="D784" t="s">
        <v>139</v>
      </c>
      <c r="E784" t="s">
        <v>139</v>
      </c>
      <c r="F784" t="s">
        <v>139</v>
      </c>
      <c r="G784" t="s">
        <v>139</v>
      </c>
      <c r="H784" t="s">
        <v>139</v>
      </c>
    </row>
    <row r="785" spans="1:9" hidden="1" x14ac:dyDescent="0.25">
      <c r="A785">
        <v>0</v>
      </c>
      <c r="B785" t="s">
        <v>4</v>
      </c>
      <c r="C785" t="s">
        <v>139</v>
      </c>
      <c r="D785" t="s">
        <v>139</v>
      </c>
      <c r="E785" t="s">
        <v>139</v>
      </c>
      <c r="F785" t="s">
        <v>139</v>
      </c>
      <c r="G785" t="s">
        <v>139</v>
      </c>
      <c r="H785" t="s">
        <v>895</v>
      </c>
      <c r="I785" t="str">
        <f>_xlfn.XLOOKUP(H785,'SO-DIMM-i9'!A:A,'SO-DIMM-i9'!B:B,_xlfn.XLOOKUP(H785,'SO-DIMM-i9'!H:H,'SO-DIMM-i9'!G:G,""))</f>
        <v/>
      </c>
    </row>
    <row r="786" spans="1:9" hidden="1" x14ac:dyDescent="0.25">
      <c r="A786">
        <v>0</v>
      </c>
      <c r="B786" t="s">
        <v>4</v>
      </c>
      <c r="C786" t="s">
        <v>139</v>
      </c>
      <c r="D786" t="s">
        <v>139</v>
      </c>
      <c r="E786" t="s">
        <v>139</v>
      </c>
      <c r="F786" t="s">
        <v>139</v>
      </c>
      <c r="G786" t="s">
        <v>139</v>
      </c>
      <c r="H786" t="s">
        <v>898</v>
      </c>
      <c r="I786" t="str">
        <f>_xlfn.XLOOKUP(H786,'SO-DIMM-i9'!A:A,'SO-DIMM-i9'!B:B,_xlfn.XLOOKUP(H786,'SO-DIMM-i9'!H:H,'SO-DIMM-i9'!G:G,""))</f>
        <v/>
      </c>
    </row>
    <row r="787" spans="1:9" hidden="1" x14ac:dyDescent="0.25">
      <c r="A787">
        <v>0</v>
      </c>
      <c r="B787" t="s">
        <v>4</v>
      </c>
      <c r="C787" t="s">
        <v>139</v>
      </c>
      <c r="D787" t="s">
        <v>139</v>
      </c>
      <c r="E787" t="s">
        <v>139</v>
      </c>
      <c r="F787" t="s">
        <v>139</v>
      </c>
      <c r="G787" t="s">
        <v>139</v>
      </c>
      <c r="H787" t="s">
        <v>139</v>
      </c>
    </row>
    <row r="788" spans="1:9" hidden="1" x14ac:dyDescent="0.25">
      <c r="A788">
        <v>0</v>
      </c>
      <c r="B788" t="s">
        <v>4</v>
      </c>
      <c r="C788" t="s">
        <v>139</v>
      </c>
      <c r="D788" t="s">
        <v>139</v>
      </c>
      <c r="E788" t="s">
        <v>139</v>
      </c>
      <c r="F788" t="s">
        <v>139</v>
      </c>
      <c r="G788" t="s">
        <v>139</v>
      </c>
      <c r="H788" t="s">
        <v>139</v>
      </c>
    </row>
    <row r="789" spans="1:9" hidden="1" x14ac:dyDescent="0.25">
      <c r="A789">
        <v>0</v>
      </c>
      <c r="B789" t="s">
        <v>352</v>
      </c>
      <c r="C789">
        <v>8</v>
      </c>
      <c r="D789" t="s">
        <v>139</v>
      </c>
      <c r="E789" t="s">
        <v>139</v>
      </c>
      <c r="F789" t="s">
        <v>139</v>
      </c>
      <c r="G789" t="s">
        <v>139</v>
      </c>
      <c r="H789" t="s">
        <v>885</v>
      </c>
      <c r="I789" t="str">
        <f>_xlfn.XLOOKUP(H789,'SO-DIMM-i9'!A:A,'SO-DIMM-i9'!B:B,_xlfn.XLOOKUP(H789,'SO-DIMM-i9'!H:H,'SO-DIMM-i9'!G:G,""))</f>
        <v/>
      </c>
    </row>
    <row r="790" spans="1:9" hidden="1" x14ac:dyDescent="0.25">
      <c r="A790">
        <v>0</v>
      </c>
      <c r="B790" t="s">
        <v>352</v>
      </c>
      <c r="C790">
        <v>8</v>
      </c>
      <c r="D790" t="s">
        <v>139</v>
      </c>
      <c r="E790" t="s">
        <v>139</v>
      </c>
      <c r="F790" t="s">
        <v>139</v>
      </c>
      <c r="G790" t="s">
        <v>139</v>
      </c>
      <c r="H790" t="s">
        <v>886</v>
      </c>
      <c r="I790" t="str">
        <f>_xlfn.XLOOKUP(H790,'SO-DIMM-i9'!A:A,'SO-DIMM-i9'!B:B,_xlfn.XLOOKUP(H790,'SO-DIMM-i9'!H:H,'SO-DIMM-i9'!G:G,""))</f>
        <v/>
      </c>
    </row>
    <row r="791" spans="1:9" hidden="1" x14ac:dyDescent="0.25">
      <c r="A791">
        <v>0</v>
      </c>
      <c r="B791" t="s">
        <v>352</v>
      </c>
      <c r="C791">
        <v>8</v>
      </c>
      <c r="D791" t="s">
        <v>139</v>
      </c>
      <c r="E791" t="s">
        <v>139</v>
      </c>
      <c r="F791" t="s">
        <v>139</v>
      </c>
      <c r="G791" t="s">
        <v>139</v>
      </c>
      <c r="H791" t="s">
        <v>139</v>
      </c>
    </row>
    <row r="792" spans="1:9" hidden="1" x14ac:dyDescent="0.25">
      <c r="A792">
        <v>0</v>
      </c>
      <c r="B792" t="s">
        <v>352</v>
      </c>
      <c r="C792">
        <v>8</v>
      </c>
      <c r="D792" t="s">
        <v>139</v>
      </c>
      <c r="E792" t="s">
        <v>139</v>
      </c>
      <c r="F792" t="s">
        <v>139</v>
      </c>
      <c r="G792" t="s">
        <v>139</v>
      </c>
      <c r="H792" t="s">
        <v>139</v>
      </c>
    </row>
    <row r="793" spans="1:9" hidden="1" x14ac:dyDescent="0.25">
      <c r="A793">
        <v>0</v>
      </c>
      <c r="B793" t="s">
        <v>352</v>
      </c>
      <c r="C793">
        <v>8</v>
      </c>
      <c r="D793" t="s">
        <v>139</v>
      </c>
      <c r="E793" t="s">
        <v>139</v>
      </c>
      <c r="F793" t="s">
        <v>139</v>
      </c>
      <c r="G793" t="s">
        <v>139</v>
      </c>
      <c r="H793" t="s">
        <v>139</v>
      </c>
    </row>
    <row r="794" spans="1:9" hidden="1" x14ac:dyDescent="0.25">
      <c r="A794">
        <v>0</v>
      </c>
      <c r="B794" t="s">
        <v>239</v>
      </c>
      <c r="C794">
        <v>6</v>
      </c>
      <c r="D794" t="s">
        <v>139</v>
      </c>
      <c r="E794" t="s">
        <v>139</v>
      </c>
      <c r="F794" t="s">
        <v>139</v>
      </c>
      <c r="G794" t="s">
        <v>139</v>
      </c>
      <c r="H794" t="s">
        <v>887</v>
      </c>
      <c r="I794" t="str">
        <f>_xlfn.XLOOKUP(H794,'SO-DIMM-i9'!A:A,'SO-DIMM-i9'!B:B,_xlfn.XLOOKUP(H794,'SO-DIMM-i9'!H:H,'SO-DIMM-i9'!G:G,""))</f>
        <v/>
      </c>
    </row>
    <row r="795" spans="1:9" hidden="1" x14ac:dyDescent="0.25">
      <c r="A795">
        <v>0</v>
      </c>
      <c r="B795" t="s">
        <v>239</v>
      </c>
      <c r="C795">
        <v>6</v>
      </c>
      <c r="D795" t="s">
        <v>139</v>
      </c>
      <c r="E795" t="s">
        <v>139</v>
      </c>
      <c r="F795" t="s">
        <v>139</v>
      </c>
      <c r="G795" t="s">
        <v>139</v>
      </c>
      <c r="H795" t="s">
        <v>888</v>
      </c>
      <c r="I795" t="str">
        <f>_xlfn.XLOOKUP(H795,'SO-DIMM-i9'!A:A,'SO-DIMM-i9'!B:B,_xlfn.XLOOKUP(H795,'SO-DIMM-i9'!H:H,'SO-DIMM-i9'!G:G,""))</f>
        <v/>
      </c>
    </row>
    <row r="796" spans="1:9" hidden="1" x14ac:dyDescent="0.25">
      <c r="A796">
        <v>0</v>
      </c>
      <c r="B796" t="s">
        <v>239</v>
      </c>
      <c r="C796">
        <v>6</v>
      </c>
      <c r="D796" t="s">
        <v>139</v>
      </c>
      <c r="E796" t="s">
        <v>139</v>
      </c>
      <c r="F796" t="s">
        <v>139</v>
      </c>
      <c r="G796" t="s">
        <v>139</v>
      </c>
      <c r="H796" t="s">
        <v>889</v>
      </c>
      <c r="I796" t="str">
        <f>_xlfn.XLOOKUP(H796,'SO-DIMM-i9'!A:A,'SO-DIMM-i9'!B:B,_xlfn.XLOOKUP(H796,'SO-DIMM-i9'!H:H,'SO-DIMM-i9'!G:G,""))</f>
        <v/>
      </c>
    </row>
    <row r="797" spans="1:9" hidden="1" x14ac:dyDescent="0.25">
      <c r="A797">
        <v>0</v>
      </c>
      <c r="B797" t="s">
        <v>239</v>
      </c>
      <c r="C797">
        <v>6</v>
      </c>
      <c r="D797" t="s">
        <v>139</v>
      </c>
      <c r="E797" t="s">
        <v>139</v>
      </c>
      <c r="F797" t="s">
        <v>139</v>
      </c>
      <c r="G797" t="s">
        <v>139</v>
      </c>
      <c r="H797" t="s">
        <v>139</v>
      </c>
    </row>
    <row r="798" spans="1:9" hidden="1" x14ac:dyDescent="0.25">
      <c r="A798">
        <v>0</v>
      </c>
      <c r="B798" t="s">
        <v>239</v>
      </c>
      <c r="C798">
        <v>6</v>
      </c>
      <c r="D798" t="s">
        <v>139</v>
      </c>
      <c r="E798" t="s">
        <v>139</v>
      </c>
      <c r="F798" t="s">
        <v>139</v>
      </c>
      <c r="G798" t="s">
        <v>139</v>
      </c>
      <c r="H798" t="s">
        <v>139</v>
      </c>
    </row>
    <row r="799" spans="1:9" hidden="1" x14ac:dyDescent="0.25">
      <c r="A799">
        <v>0</v>
      </c>
      <c r="B799" t="s">
        <v>239</v>
      </c>
      <c r="C799">
        <v>6</v>
      </c>
      <c r="D799" t="s">
        <v>139</v>
      </c>
      <c r="E799" t="s">
        <v>139</v>
      </c>
      <c r="F799" t="s">
        <v>139</v>
      </c>
      <c r="G799" t="s">
        <v>139</v>
      </c>
      <c r="H799" t="s">
        <v>139</v>
      </c>
    </row>
    <row r="800" spans="1:9" hidden="1" x14ac:dyDescent="0.25">
      <c r="A800">
        <v>0</v>
      </c>
      <c r="B800" t="s">
        <v>150</v>
      </c>
      <c r="C800">
        <v>7</v>
      </c>
      <c r="D800" t="s">
        <v>139</v>
      </c>
      <c r="E800" t="s">
        <v>139</v>
      </c>
      <c r="F800" t="s">
        <v>139</v>
      </c>
      <c r="G800" t="s">
        <v>139</v>
      </c>
      <c r="H800" t="s">
        <v>890</v>
      </c>
      <c r="I800" t="str">
        <f>_xlfn.XLOOKUP(H800,'SO-DIMM-i9'!A:A,'SO-DIMM-i9'!B:B,_xlfn.XLOOKUP(H800,'SO-DIMM-i9'!H:H,'SO-DIMM-i9'!G:G,""))</f>
        <v/>
      </c>
    </row>
    <row r="801" spans="1:9" hidden="1" x14ac:dyDescent="0.25">
      <c r="A801">
        <v>0</v>
      </c>
      <c r="B801" t="s">
        <v>150</v>
      </c>
      <c r="C801">
        <v>7</v>
      </c>
      <c r="D801" t="s">
        <v>139</v>
      </c>
      <c r="E801" t="s">
        <v>139</v>
      </c>
      <c r="F801" t="s">
        <v>139</v>
      </c>
      <c r="G801" t="s">
        <v>139</v>
      </c>
      <c r="H801" t="s">
        <v>891</v>
      </c>
      <c r="I801" t="str">
        <f>_xlfn.XLOOKUP(H801,'SO-DIMM-i9'!A:A,'SO-DIMM-i9'!B:B,_xlfn.XLOOKUP(H801,'SO-DIMM-i9'!H:H,'SO-DIMM-i9'!G:G,""))</f>
        <v/>
      </c>
    </row>
    <row r="802" spans="1:9" hidden="1" x14ac:dyDescent="0.25">
      <c r="A802">
        <v>0</v>
      </c>
      <c r="B802" t="s">
        <v>150</v>
      </c>
      <c r="C802">
        <v>7</v>
      </c>
      <c r="D802" t="s">
        <v>139</v>
      </c>
      <c r="E802" t="s">
        <v>139</v>
      </c>
      <c r="F802" t="s">
        <v>139</v>
      </c>
      <c r="G802" t="s">
        <v>139</v>
      </c>
      <c r="H802" t="s">
        <v>892</v>
      </c>
      <c r="I802" t="str">
        <f>_xlfn.XLOOKUP(H802,'SO-DIMM-i9'!A:A,'SO-DIMM-i9'!B:B,_xlfn.XLOOKUP(H802,'SO-DIMM-i9'!H:H,'SO-DIMM-i9'!G:G,""))</f>
        <v/>
      </c>
    </row>
    <row r="803" spans="1:9" hidden="1" x14ac:dyDescent="0.25">
      <c r="A803">
        <v>0</v>
      </c>
      <c r="B803" t="s">
        <v>150</v>
      </c>
      <c r="C803">
        <v>7</v>
      </c>
      <c r="D803" t="s">
        <v>139</v>
      </c>
      <c r="E803" t="s">
        <v>139</v>
      </c>
      <c r="F803" t="s">
        <v>139</v>
      </c>
      <c r="G803" t="s">
        <v>139</v>
      </c>
      <c r="H803" t="s">
        <v>139</v>
      </c>
    </row>
    <row r="804" spans="1:9" hidden="1" x14ac:dyDescent="0.25">
      <c r="A804">
        <v>0</v>
      </c>
      <c r="B804" t="s">
        <v>150</v>
      </c>
      <c r="C804">
        <v>7</v>
      </c>
      <c r="D804" t="s">
        <v>139</v>
      </c>
      <c r="E804" t="s">
        <v>139</v>
      </c>
      <c r="F804" t="s">
        <v>139</v>
      </c>
      <c r="G804" t="s">
        <v>139</v>
      </c>
      <c r="H804" t="s">
        <v>139</v>
      </c>
    </row>
    <row r="805" spans="1:9" hidden="1" x14ac:dyDescent="0.25">
      <c r="A805">
        <v>0</v>
      </c>
      <c r="B805" t="s">
        <v>150</v>
      </c>
      <c r="C805">
        <v>7</v>
      </c>
      <c r="D805" t="s">
        <v>139</v>
      </c>
      <c r="E805" t="s">
        <v>139</v>
      </c>
      <c r="F805" t="s">
        <v>139</v>
      </c>
      <c r="G805" t="s">
        <v>139</v>
      </c>
      <c r="H805" t="s">
        <v>139</v>
      </c>
    </row>
    <row r="806" spans="1:9" hidden="1" x14ac:dyDescent="0.25">
      <c r="A806">
        <v>0</v>
      </c>
      <c r="B806" t="s">
        <v>150</v>
      </c>
      <c r="C806">
        <v>7</v>
      </c>
      <c r="D806" t="s">
        <v>139</v>
      </c>
      <c r="E806" t="s">
        <v>139</v>
      </c>
      <c r="F806" t="s">
        <v>139</v>
      </c>
      <c r="G806" t="s">
        <v>139</v>
      </c>
      <c r="H806" t="s">
        <v>139</v>
      </c>
    </row>
    <row r="807" spans="1:9" hidden="1" x14ac:dyDescent="0.25">
      <c r="A807">
        <v>0</v>
      </c>
      <c r="B807" t="s">
        <v>12</v>
      </c>
      <c r="C807" t="s">
        <v>139</v>
      </c>
      <c r="D807" t="s">
        <v>139</v>
      </c>
      <c r="E807" t="s">
        <v>139</v>
      </c>
      <c r="F807" t="s">
        <v>139</v>
      </c>
      <c r="G807" t="s">
        <v>139</v>
      </c>
      <c r="H807" t="s">
        <v>901</v>
      </c>
      <c r="I807" t="str">
        <f>_xlfn.XLOOKUP(H807,'SO-DIMM-i9'!A:A,'SO-DIMM-i9'!B:B,_xlfn.XLOOKUP(H807,'SO-DIMM-i9'!H:H,'SO-DIMM-i9'!G:G,""))</f>
        <v/>
      </c>
    </row>
    <row r="808" spans="1:9" hidden="1" x14ac:dyDescent="0.25">
      <c r="A808">
        <v>0</v>
      </c>
      <c r="B808" t="s">
        <v>12</v>
      </c>
      <c r="C808" t="s">
        <v>139</v>
      </c>
      <c r="D808" t="s">
        <v>139</v>
      </c>
      <c r="E808" t="s">
        <v>139</v>
      </c>
      <c r="F808" t="s">
        <v>139</v>
      </c>
      <c r="G808" t="s">
        <v>139</v>
      </c>
      <c r="H808" t="s">
        <v>897</v>
      </c>
      <c r="I808" t="str">
        <f>_xlfn.XLOOKUP(H808,'SO-DIMM-i9'!A:A,'SO-DIMM-i9'!B:B,_xlfn.XLOOKUP(H808,'SO-DIMM-i9'!H:H,'SO-DIMM-i9'!G:G,""))</f>
        <v/>
      </c>
    </row>
    <row r="809" spans="1:9" hidden="1" x14ac:dyDescent="0.25">
      <c r="A809">
        <v>0</v>
      </c>
      <c r="B809" t="s">
        <v>12</v>
      </c>
      <c r="C809" t="s">
        <v>139</v>
      </c>
      <c r="D809" t="s">
        <v>139</v>
      </c>
      <c r="E809" t="s">
        <v>139</v>
      </c>
      <c r="F809" t="s">
        <v>139</v>
      </c>
      <c r="G809" t="s">
        <v>139</v>
      </c>
      <c r="H809" t="s">
        <v>139</v>
      </c>
    </row>
    <row r="810" spans="1:9" hidden="1" x14ac:dyDescent="0.25">
      <c r="A810">
        <v>0</v>
      </c>
      <c r="B810" t="s">
        <v>12</v>
      </c>
      <c r="C810" t="s">
        <v>139</v>
      </c>
      <c r="D810" t="s">
        <v>139</v>
      </c>
      <c r="E810" t="s">
        <v>139</v>
      </c>
      <c r="F810" t="s">
        <v>139</v>
      </c>
      <c r="G810" t="s">
        <v>139</v>
      </c>
      <c r="H810" t="s">
        <v>139</v>
      </c>
    </row>
    <row r="811" spans="1:9" hidden="1" x14ac:dyDescent="0.25">
      <c r="A811">
        <v>0</v>
      </c>
      <c r="B811" t="s">
        <v>12</v>
      </c>
      <c r="C811" t="s">
        <v>139</v>
      </c>
      <c r="D811" t="s">
        <v>139</v>
      </c>
      <c r="E811" t="s">
        <v>139</v>
      </c>
      <c r="F811" t="s">
        <v>139</v>
      </c>
      <c r="G811" t="s">
        <v>139</v>
      </c>
      <c r="H811" t="s">
        <v>139</v>
      </c>
    </row>
    <row r="812" spans="1:9" hidden="1" x14ac:dyDescent="0.25">
      <c r="A812">
        <v>0</v>
      </c>
      <c r="B812" t="s">
        <v>12</v>
      </c>
      <c r="C812" t="s">
        <v>139</v>
      </c>
      <c r="D812" t="s">
        <v>139</v>
      </c>
      <c r="E812" t="s">
        <v>139</v>
      </c>
      <c r="F812" t="s">
        <v>139</v>
      </c>
      <c r="G812" t="s">
        <v>139</v>
      </c>
      <c r="H812" t="s">
        <v>139</v>
      </c>
    </row>
    <row r="813" spans="1:9" hidden="1" x14ac:dyDescent="0.25">
      <c r="A813">
        <v>0</v>
      </c>
      <c r="B813" t="s">
        <v>12</v>
      </c>
      <c r="C813" t="s">
        <v>139</v>
      </c>
      <c r="D813" t="s">
        <v>139</v>
      </c>
      <c r="E813" t="s">
        <v>139</v>
      </c>
      <c r="F813" t="s">
        <v>139</v>
      </c>
      <c r="G813" t="s">
        <v>139</v>
      </c>
      <c r="H813" t="s">
        <v>139</v>
      </c>
    </row>
    <row r="814" spans="1:9" hidden="1" x14ac:dyDescent="0.25">
      <c r="A814">
        <v>0</v>
      </c>
      <c r="B814" t="s">
        <v>12</v>
      </c>
      <c r="C814" t="s">
        <v>139</v>
      </c>
      <c r="D814" t="s">
        <v>139</v>
      </c>
      <c r="E814" t="s">
        <v>139</v>
      </c>
      <c r="F814" t="s">
        <v>139</v>
      </c>
      <c r="G814" t="s">
        <v>139</v>
      </c>
      <c r="H814" t="s">
        <v>139</v>
      </c>
    </row>
    <row r="815" spans="1:9" hidden="1" x14ac:dyDescent="0.25">
      <c r="A815">
        <v>0</v>
      </c>
      <c r="B815" t="s">
        <v>12</v>
      </c>
      <c r="C815" t="s">
        <v>139</v>
      </c>
      <c r="D815" t="s">
        <v>139</v>
      </c>
      <c r="E815" t="s">
        <v>139</v>
      </c>
      <c r="F815" t="s">
        <v>139</v>
      </c>
      <c r="G815" t="s">
        <v>139</v>
      </c>
      <c r="H815" t="s">
        <v>139</v>
      </c>
    </row>
    <row r="816" spans="1:9" hidden="1" x14ac:dyDescent="0.25">
      <c r="A816">
        <v>0</v>
      </c>
      <c r="B816" t="s">
        <v>12</v>
      </c>
      <c r="C816" t="s">
        <v>139</v>
      </c>
      <c r="D816" t="s">
        <v>139</v>
      </c>
      <c r="E816" t="s">
        <v>139</v>
      </c>
      <c r="F816" t="s">
        <v>139</v>
      </c>
      <c r="G816" t="s">
        <v>139</v>
      </c>
      <c r="H816" t="s">
        <v>139</v>
      </c>
    </row>
    <row r="817" spans="1:8" hidden="1" x14ac:dyDescent="0.25">
      <c r="A817">
        <v>0</v>
      </c>
      <c r="B817" t="s">
        <v>12</v>
      </c>
      <c r="C817" t="s">
        <v>139</v>
      </c>
      <c r="D817" t="s">
        <v>139</v>
      </c>
      <c r="E817" t="s">
        <v>139</v>
      </c>
      <c r="F817" t="s">
        <v>139</v>
      </c>
      <c r="G817" t="s">
        <v>139</v>
      </c>
      <c r="H817" t="s">
        <v>139</v>
      </c>
    </row>
    <row r="818" spans="1:8" hidden="1" x14ac:dyDescent="0.25">
      <c r="A818">
        <v>0</v>
      </c>
      <c r="B818" t="s">
        <v>12</v>
      </c>
      <c r="C818" t="s">
        <v>139</v>
      </c>
      <c r="D818" t="s">
        <v>139</v>
      </c>
      <c r="E818" t="s">
        <v>139</v>
      </c>
      <c r="F818" t="s">
        <v>139</v>
      </c>
      <c r="G818" t="s">
        <v>139</v>
      </c>
      <c r="H818" t="s">
        <v>139</v>
      </c>
    </row>
    <row r="819" spans="1:8" hidden="1" x14ac:dyDescent="0.25">
      <c r="A819">
        <v>0</v>
      </c>
      <c r="B819" t="s">
        <v>12</v>
      </c>
      <c r="C819" t="s">
        <v>139</v>
      </c>
      <c r="D819" t="s">
        <v>139</v>
      </c>
      <c r="E819" t="s">
        <v>139</v>
      </c>
      <c r="F819" t="s">
        <v>139</v>
      </c>
      <c r="G819" t="s">
        <v>139</v>
      </c>
      <c r="H819" t="s">
        <v>139</v>
      </c>
    </row>
    <row r="820" spans="1:8" hidden="1" x14ac:dyDescent="0.25">
      <c r="A820">
        <v>0</v>
      </c>
      <c r="B820" t="s">
        <v>12</v>
      </c>
      <c r="C820" t="s">
        <v>139</v>
      </c>
      <c r="D820" t="s">
        <v>139</v>
      </c>
      <c r="E820" t="s">
        <v>139</v>
      </c>
      <c r="F820" t="s">
        <v>139</v>
      </c>
      <c r="G820" t="s">
        <v>139</v>
      </c>
      <c r="H820" t="s">
        <v>139</v>
      </c>
    </row>
    <row r="821" spans="1:8" hidden="1" x14ac:dyDescent="0.25">
      <c r="A821">
        <v>0</v>
      </c>
      <c r="B821" t="s">
        <v>12</v>
      </c>
      <c r="C821" t="s">
        <v>139</v>
      </c>
      <c r="D821" t="s">
        <v>139</v>
      </c>
      <c r="E821" t="s">
        <v>139</v>
      </c>
      <c r="F821" t="s">
        <v>139</v>
      </c>
      <c r="G821" t="s">
        <v>139</v>
      </c>
      <c r="H821" t="s">
        <v>139</v>
      </c>
    </row>
    <row r="822" spans="1:8" hidden="1" x14ac:dyDescent="0.25">
      <c r="A822">
        <v>0</v>
      </c>
      <c r="B822" t="s">
        <v>12</v>
      </c>
      <c r="C822" t="s">
        <v>139</v>
      </c>
      <c r="D822" t="s">
        <v>139</v>
      </c>
      <c r="E822" t="s">
        <v>139</v>
      </c>
      <c r="F822" t="s">
        <v>139</v>
      </c>
      <c r="G822" t="s">
        <v>139</v>
      </c>
      <c r="H822" t="s">
        <v>139</v>
      </c>
    </row>
    <row r="823" spans="1:8" hidden="1" x14ac:dyDescent="0.25">
      <c r="A823">
        <v>0</v>
      </c>
      <c r="B823" t="s">
        <v>12</v>
      </c>
      <c r="C823" t="s">
        <v>139</v>
      </c>
      <c r="D823" t="s">
        <v>139</v>
      </c>
      <c r="E823" t="s">
        <v>139</v>
      </c>
      <c r="F823" t="s">
        <v>139</v>
      </c>
      <c r="G823" t="s">
        <v>139</v>
      </c>
      <c r="H823" t="s">
        <v>139</v>
      </c>
    </row>
    <row r="824" spans="1:8" hidden="1" x14ac:dyDescent="0.25">
      <c r="A824">
        <v>0</v>
      </c>
      <c r="B824" t="s">
        <v>12</v>
      </c>
      <c r="C824" t="s">
        <v>139</v>
      </c>
      <c r="D824" t="s">
        <v>139</v>
      </c>
      <c r="E824" t="s">
        <v>139</v>
      </c>
      <c r="F824" t="s">
        <v>139</v>
      </c>
      <c r="G824" t="s">
        <v>139</v>
      </c>
      <c r="H824" t="s">
        <v>139</v>
      </c>
    </row>
    <row r="825" spans="1:8" hidden="1" x14ac:dyDescent="0.25">
      <c r="A825">
        <v>0</v>
      </c>
      <c r="B825" t="s">
        <v>12</v>
      </c>
      <c r="C825" t="s">
        <v>139</v>
      </c>
      <c r="D825" t="s">
        <v>139</v>
      </c>
      <c r="E825" t="s">
        <v>139</v>
      </c>
      <c r="F825" t="s">
        <v>139</v>
      </c>
      <c r="G825" t="s">
        <v>139</v>
      </c>
      <c r="H825" t="s">
        <v>139</v>
      </c>
    </row>
    <row r="826" spans="1:8" hidden="1" x14ac:dyDescent="0.25">
      <c r="A826">
        <v>0</v>
      </c>
      <c r="B826" t="s">
        <v>12</v>
      </c>
      <c r="C826" t="s">
        <v>139</v>
      </c>
      <c r="D826" t="s">
        <v>139</v>
      </c>
      <c r="E826" t="s">
        <v>139</v>
      </c>
      <c r="F826" t="s">
        <v>139</v>
      </c>
      <c r="G826" t="s">
        <v>139</v>
      </c>
      <c r="H826" t="s">
        <v>139</v>
      </c>
    </row>
    <row r="827" spans="1:8" hidden="1" x14ac:dyDescent="0.25">
      <c r="A827">
        <v>0</v>
      </c>
      <c r="B827" t="s">
        <v>12</v>
      </c>
      <c r="C827" t="s">
        <v>139</v>
      </c>
      <c r="D827" t="s">
        <v>139</v>
      </c>
      <c r="E827" t="s">
        <v>139</v>
      </c>
      <c r="F827" t="s">
        <v>139</v>
      </c>
      <c r="G827" t="s">
        <v>139</v>
      </c>
      <c r="H827" t="s">
        <v>139</v>
      </c>
    </row>
    <row r="828" spans="1:8" hidden="1" x14ac:dyDescent="0.25">
      <c r="A828">
        <v>0</v>
      </c>
      <c r="B828" t="s">
        <v>12</v>
      </c>
      <c r="C828" t="s">
        <v>139</v>
      </c>
      <c r="D828" t="s">
        <v>139</v>
      </c>
      <c r="E828" t="s">
        <v>139</v>
      </c>
      <c r="F828" t="s">
        <v>139</v>
      </c>
      <c r="G828" t="s">
        <v>139</v>
      </c>
      <c r="H828" t="s">
        <v>139</v>
      </c>
    </row>
    <row r="829" spans="1:8" hidden="1" x14ac:dyDescent="0.25">
      <c r="A829">
        <v>0</v>
      </c>
      <c r="B829" t="s">
        <v>12</v>
      </c>
      <c r="C829" t="s">
        <v>139</v>
      </c>
      <c r="D829" t="s">
        <v>139</v>
      </c>
      <c r="E829" t="s">
        <v>139</v>
      </c>
      <c r="F829" t="s">
        <v>139</v>
      </c>
      <c r="G829" t="s">
        <v>139</v>
      </c>
      <c r="H829" t="s">
        <v>139</v>
      </c>
    </row>
    <row r="830" spans="1:8" hidden="1" x14ac:dyDescent="0.25">
      <c r="A830">
        <v>0</v>
      </c>
      <c r="B830" t="s">
        <v>12</v>
      </c>
      <c r="C830" t="s">
        <v>139</v>
      </c>
      <c r="D830" t="s">
        <v>139</v>
      </c>
      <c r="E830" t="s">
        <v>139</v>
      </c>
      <c r="F830" t="s">
        <v>139</v>
      </c>
      <c r="G830" t="s">
        <v>139</v>
      </c>
      <c r="H830" t="s">
        <v>139</v>
      </c>
    </row>
    <row r="831" spans="1:8" hidden="1" x14ac:dyDescent="0.25">
      <c r="A831">
        <v>0</v>
      </c>
      <c r="B831" t="s">
        <v>12</v>
      </c>
      <c r="C831" t="s">
        <v>139</v>
      </c>
      <c r="D831" t="s">
        <v>139</v>
      </c>
      <c r="E831" t="s">
        <v>139</v>
      </c>
      <c r="F831" t="s">
        <v>139</v>
      </c>
      <c r="G831" t="s">
        <v>139</v>
      </c>
      <c r="H831" t="s">
        <v>139</v>
      </c>
    </row>
    <row r="832" spans="1:8" hidden="1" x14ac:dyDescent="0.25">
      <c r="A832">
        <v>0</v>
      </c>
      <c r="B832" t="s">
        <v>12</v>
      </c>
      <c r="C832" t="s">
        <v>139</v>
      </c>
      <c r="D832" t="s">
        <v>139</v>
      </c>
      <c r="E832" t="s">
        <v>139</v>
      </c>
      <c r="F832" t="s">
        <v>139</v>
      </c>
      <c r="G832" t="s">
        <v>139</v>
      </c>
      <c r="H832" t="s">
        <v>139</v>
      </c>
    </row>
    <row r="833" spans="1:8" hidden="1" x14ac:dyDescent="0.25">
      <c r="A833">
        <v>0</v>
      </c>
      <c r="B833" t="s">
        <v>12</v>
      </c>
      <c r="C833" t="s">
        <v>139</v>
      </c>
      <c r="D833" t="s">
        <v>139</v>
      </c>
      <c r="E833" t="s">
        <v>139</v>
      </c>
      <c r="F833" t="s">
        <v>139</v>
      </c>
      <c r="G833" t="s">
        <v>139</v>
      </c>
      <c r="H833" t="s">
        <v>139</v>
      </c>
    </row>
    <row r="834" spans="1:8" hidden="1" x14ac:dyDescent="0.25">
      <c r="A834">
        <v>0</v>
      </c>
      <c r="B834" t="s">
        <v>12</v>
      </c>
      <c r="C834" t="s">
        <v>139</v>
      </c>
      <c r="D834" t="s">
        <v>139</v>
      </c>
      <c r="E834" t="s">
        <v>139</v>
      </c>
      <c r="F834" t="s">
        <v>139</v>
      </c>
      <c r="G834" t="s">
        <v>139</v>
      </c>
      <c r="H834" t="s">
        <v>139</v>
      </c>
    </row>
    <row r="835" spans="1:8" hidden="1" x14ac:dyDescent="0.25">
      <c r="A835">
        <v>0</v>
      </c>
      <c r="B835" t="s">
        <v>12</v>
      </c>
      <c r="C835" t="s">
        <v>139</v>
      </c>
      <c r="D835" t="s">
        <v>139</v>
      </c>
      <c r="E835" t="s">
        <v>139</v>
      </c>
      <c r="F835" t="s">
        <v>139</v>
      </c>
      <c r="G835" t="s">
        <v>139</v>
      </c>
      <c r="H835" t="s">
        <v>139</v>
      </c>
    </row>
    <row r="836" spans="1:8" hidden="1" x14ac:dyDescent="0.25">
      <c r="A836">
        <v>0</v>
      </c>
      <c r="B836" t="s">
        <v>12</v>
      </c>
      <c r="C836" t="s">
        <v>139</v>
      </c>
      <c r="D836" t="s">
        <v>139</v>
      </c>
      <c r="E836" t="s">
        <v>139</v>
      </c>
      <c r="F836" t="s">
        <v>139</v>
      </c>
      <c r="G836" t="s">
        <v>139</v>
      </c>
      <c r="H836" t="s">
        <v>139</v>
      </c>
    </row>
    <row r="837" spans="1:8" hidden="1" x14ac:dyDescent="0.25">
      <c r="A837">
        <v>0</v>
      </c>
      <c r="B837" t="s">
        <v>12</v>
      </c>
      <c r="C837" t="s">
        <v>139</v>
      </c>
      <c r="D837" t="s">
        <v>139</v>
      </c>
      <c r="E837" t="s">
        <v>139</v>
      </c>
      <c r="F837" t="s">
        <v>139</v>
      </c>
      <c r="G837" t="s">
        <v>139</v>
      </c>
      <c r="H837" t="s">
        <v>139</v>
      </c>
    </row>
    <row r="838" spans="1:8" hidden="1" x14ac:dyDescent="0.25">
      <c r="A838">
        <v>0</v>
      </c>
      <c r="B838" t="s">
        <v>12</v>
      </c>
      <c r="C838" t="s">
        <v>139</v>
      </c>
      <c r="D838" t="s">
        <v>139</v>
      </c>
      <c r="E838" t="s">
        <v>139</v>
      </c>
      <c r="F838" t="s">
        <v>139</v>
      </c>
      <c r="G838" t="s">
        <v>139</v>
      </c>
      <c r="H838" t="s">
        <v>139</v>
      </c>
    </row>
    <row r="839" spans="1:8" hidden="1" x14ac:dyDescent="0.25">
      <c r="A839">
        <v>0</v>
      </c>
      <c r="B839" t="s">
        <v>12</v>
      </c>
      <c r="C839" t="s">
        <v>139</v>
      </c>
      <c r="D839" t="s">
        <v>139</v>
      </c>
      <c r="E839" t="s">
        <v>139</v>
      </c>
      <c r="F839" t="s">
        <v>139</v>
      </c>
      <c r="G839" t="s">
        <v>139</v>
      </c>
      <c r="H839" t="s">
        <v>139</v>
      </c>
    </row>
    <row r="840" spans="1:8" hidden="1" x14ac:dyDescent="0.25">
      <c r="A840">
        <v>0</v>
      </c>
      <c r="B840" t="s">
        <v>12</v>
      </c>
      <c r="C840" t="s">
        <v>139</v>
      </c>
      <c r="D840" t="s">
        <v>139</v>
      </c>
      <c r="E840" t="s">
        <v>139</v>
      </c>
      <c r="F840" t="s">
        <v>139</v>
      </c>
      <c r="G840" t="s">
        <v>139</v>
      </c>
      <c r="H840" t="s">
        <v>139</v>
      </c>
    </row>
    <row r="841" spans="1:8" hidden="1" x14ac:dyDescent="0.25">
      <c r="A841">
        <v>0</v>
      </c>
      <c r="B841" t="s">
        <v>12</v>
      </c>
      <c r="C841" t="s">
        <v>139</v>
      </c>
      <c r="D841" t="s">
        <v>139</v>
      </c>
      <c r="E841" t="s">
        <v>139</v>
      </c>
      <c r="F841" t="s">
        <v>139</v>
      </c>
      <c r="G841" t="s">
        <v>139</v>
      </c>
      <c r="H841" t="s">
        <v>139</v>
      </c>
    </row>
    <row r="842" spans="1:8" hidden="1" x14ac:dyDescent="0.25">
      <c r="A842">
        <v>0</v>
      </c>
      <c r="B842" t="s">
        <v>12</v>
      </c>
      <c r="C842" t="s">
        <v>139</v>
      </c>
      <c r="D842" t="s">
        <v>139</v>
      </c>
      <c r="E842" t="s">
        <v>139</v>
      </c>
      <c r="F842" t="s">
        <v>139</v>
      </c>
      <c r="G842" t="s">
        <v>139</v>
      </c>
      <c r="H842" t="s">
        <v>139</v>
      </c>
    </row>
    <row r="843" spans="1:8" hidden="1" x14ac:dyDescent="0.25">
      <c r="A843">
        <v>0</v>
      </c>
      <c r="B843" t="s">
        <v>12</v>
      </c>
      <c r="C843" t="s">
        <v>139</v>
      </c>
      <c r="D843" t="s">
        <v>139</v>
      </c>
      <c r="E843" t="s">
        <v>139</v>
      </c>
      <c r="F843" t="s">
        <v>139</v>
      </c>
      <c r="G843" t="s">
        <v>139</v>
      </c>
      <c r="H843" t="s">
        <v>139</v>
      </c>
    </row>
    <row r="844" spans="1:8" hidden="1" x14ac:dyDescent="0.25">
      <c r="A844">
        <v>0</v>
      </c>
      <c r="B844" t="s">
        <v>12</v>
      </c>
      <c r="C844" t="s">
        <v>139</v>
      </c>
      <c r="D844" t="s">
        <v>139</v>
      </c>
      <c r="E844" t="s">
        <v>139</v>
      </c>
      <c r="F844" t="s">
        <v>139</v>
      </c>
      <c r="G844" t="s">
        <v>139</v>
      </c>
      <c r="H844" t="s">
        <v>139</v>
      </c>
    </row>
    <row r="845" spans="1:8" hidden="1" x14ac:dyDescent="0.25">
      <c r="A845">
        <v>0</v>
      </c>
      <c r="B845" t="s">
        <v>12</v>
      </c>
      <c r="C845" t="s">
        <v>139</v>
      </c>
      <c r="D845" t="s">
        <v>139</v>
      </c>
      <c r="E845" t="s">
        <v>139</v>
      </c>
      <c r="F845" t="s">
        <v>139</v>
      </c>
      <c r="G845" t="s">
        <v>139</v>
      </c>
      <c r="H845" t="s">
        <v>139</v>
      </c>
    </row>
    <row r="846" spans="1:8" hidden="1" x14ac:dyDescent="0.25">
      <c r="A846">
        <v>0</v>
      </c>
      <c r="B846" t="s">
        <v>12</v>
      </c>
      <c r="C846" t="s">
        <v>139</v>
      </c>
      <c r="D846" t="s">
        <v>139</v>
      </c>
      <c r="E846" t="s">
        <v>139</v>
      </c>
      <c r="F846" t="s">
        <v>139</v>
      </c>
      <c r="G846" t="s">
        <v>139</v>
      </c>
      <c r="H846" t="s">
        <v>139</v>
      </c>
    </row>
    <row r="847" spans="1:8" hidden="1" x14ac:dyDescent="0.25">
      <c r="A847">
        <v>0</v>
      </c>
      <c r="B847" t="s">
        <v>12</v>
      </c>
      <c r="C847" t="s">
        <v>139</v>
      </c>
      <c r="D847" t="s">
        <v>139</v>
      </c>
      <c r="E847" t="s">
        <v>139</v>
      </c>
      <c r="F847" t="s">
        <v>139</v>
      </c>
      <c r="G847" t="s">
        <v>139</v>
      </c>
      <c r="H847" t="s">
        <v>139</v>
      </c>
    </row>
    <row r="848" spans="1:8" hidden="1" x14ac:dyDescent="0.25">
      <c r="A848">
        <v>0</v>
      </c>
      <c r="B848" t="s">
        <v>12</v>
      </c>
      <c r="C848" t="s">
        <v>139</v>
      </c>
      <c r="D848" t="s">
        <v>139</v>
      </c>
      <c r="E848" t="s">
        <v>139</v>
      </c>
      <c r="F848" t="s">
        <v>139</v>
      </c>
      <c r="G848" t="s">
        <v>139</v>
      </c>
      <c r="H848" t="s">
        <v>139</v>
      </c>
    </row>
    <row r="849" spans="1:8" hidden="1" x14ac:dyDescent="0.25">
      <c r="A849">
        <v>0</v>
      </c>
      <c r="B849" t="s">
        <v>12</v>
      </c>
      <c r="C849" t="s">
        <v>139</v>
      </c>
      <c r="D849" t="s">
        <v>139</v>
      </c>
      <c r="E849" t="s">
        <v>139</v>
      </c>
      <c r="F849" t="s">
        <v>139</v>
      </c>
      <c r="G849" t="s">
        <v>139</v>
      </c>
      <c r="H849" t="s">
        <v>139</v>
      </c>
    </row>
    <row r="850" spans="1:8" hidden="1" x14ac:dyDescent="0.25">
      <c r="A850">
        <v>0</v>
      </c>
      <c r="B850" t="s">
        <v>12</v>
      </c>
      <c r="C850" t="s">
        <v>139</v>
      </c>
      <c r="D850" t="s">
        <v>139</v>
      </c>
      <c r="E850" t="s">
        <v>139</v>
      </c>
      <c r="F850" t="s">
        <v>139</v>
      </c>
      <c r="G850" t="s">
        <v>139</v>
      </c>
      <c r="H850" t="s">
        <v>139</v>
      </c>
    </row>
    <row r="851" spans="1:8" hidden="1" x14ac:dyDescent="0.25">
      <c r="A851">
        <v>0</v>
      </c>
      <c r="B851" t="s">
        <v>12</v>
      </c>
      <c r="C851" t="s">
        <v>139</v>
      </c>
      <c r="D851" t="s">
        <v>139</v>
      </c>
      <c r="E851" t="s">
        <v>139</v>
      </c>
      <c r="F851" t="s">
        <v>139</v>
      </c>
      <c r="G851" t="s">
        <v>139</v>
      </c>
      <c r="H851" t="s">
        <v>139</v>
      </c>
    </row>
    <row r="852" spans="1:8" hidden="1" x14ac:dyDescent="0.25">
      <c r="A852">
        <v>0</v>
      </c>
      <c r="B852" t="s">
        <v>12</v>
      </c>
      <c r="C852" t="s">
        <v>139</v>
      </c>
      <c r="D852" t="s">
        <v>139</v>
      </c>
      <c r="E852" t="s">
        <v>139</v>
      </c>
      <c r="F852" t="s">
        <v>139</v>
      </c>
      <c r="G852" t="s">
        <v>139</v>
      </c>
      <c r="H852" t="s">
        <v>139</v>
      </c>
    </row>
    <row r="853" spans="1:8" hidden="1" x14ac:dyDescent="0.25">
      <c r="A853">
        <v>0</v>
      </c>
      <c r="B853" t="s">
        <v>12</v>
      </c>
      <c r="C853" t="s">
        <v>139</v>
      </c>
      <c r="D853" t="s">
        <v>139</v>
      </c>
      <c r="E853" t="s">
        <v>139</v>
      </c>
      <c r="F853" t="s">
        <v>139</v>
      </c>
      <c r="G853" t="s">
        <v>139</v>
      </c>
      <c r="H853" t="s">
        <v>139</v>
      </c>
    </row>
    <row r="854" spans="1:8" hidden="1" x14ac:dyDescent="0.25">
      <c r="A854">
        <v>0</v>
      </c>
      <c r="B854" t="s">
        <v>12</v>
      </c>
      <c r="C854" t="s">
        <v>139</v>
      </c>
      <c r="D854" t="s">
        <v>139</v>
      </c>
      <c r="E854" t="s">
        <v>139</v>
      </c>
      <c r="F854" t="s">
        <v>139</v>
      </c>
      <c r="G854" t="s">
        <v>139</v>
      </c>
      <c r="H854" t="s">
        <v>139</v>
      </c>
    </row>
  </sheetData>
  <autoFilter ref="A9:I854" xr:uid="{F941D154-5B10-40ED-B51C-5AEE57CE5B32}"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SO-DIMM-i5</vt:lpstr>
      <vt:lpstr>FPGA-SC-02033-2-0-ECP5U-25-Pino</vt:lpstr>
      <vt:lpstr>SO-DIMM-i9</vt:lpstr>
      <vt:lpstr>FPGA-SC-02034-3-0-ECP5U-45-Pino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Salih Albayrak</dc:creator>
  <cp:keywords/>
  <dc:description/>
  <cp:lastModifiedBy>Salih Albayrak</cp:lastModifiedBy>
  <cp:revision/>
  <dcterms:created xsi:type="dcterms:W3CDTF">2026-07-27T19:20:53Z</dcterms:created>
  <dcterms:modified xsi:type="dcterms:W3CDTF">2026-09-23T02:11:17Z</dcterms:modified>
  <cp:category/>
  <cp:contentStatus/>
</cp:coreProperties>
</file>